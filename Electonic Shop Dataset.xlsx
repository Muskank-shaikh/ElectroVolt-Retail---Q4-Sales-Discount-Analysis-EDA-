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01CEDDE5-3C5D-411D-8AF1-BB7E1B9E59B5}" xr6:coauthVersionLast="47" xr6:coauthVersionMax="47" xr10:uidLastSave="{00000000-0000-0000-0000-000000000000}"/>
  <bookViews>
    <workbookView xWindow="-120" yWindow="-120" windowWidth="20730" windowHeight="11040" activeTab="1" xr2:uid="{77830D97-961C-45E8-8226-E3043D74977B}"/>
  </bookViews>
  <sheets>
    <sheet name="Sheet2" sheetId="6" r:id="rId1"/>
    <sheet name="Electronic Shop Sales Dataset" sheetId="4" r:id="rId2"/>
    <sheet name="Sheet" sheetId="8" r:id="rId3"/>
  </sheets>
  <definedNames>
    <definedName name="_xlnm._FilterDatabase" localSheetId="1" hidden="1">'Electronic Shop Sales Dataset'!$P$1:$P$579</definedName>
    <definedName name="_xlcn.WorksheetConnection_ElectronicShopSalesDatasetA1O5771" hidden="1">'Electronic Shop Sales Dataset'!$A$1:$P$577</definedName>
  </definedNames>
  <calcPr calcId="191029"/>
  <pivotCaches>
    <pivotCache cacheId="27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Electronic Shop Sales Dataset!$A$1:$O$577"/>
        </x15:modelTables>
        <x15:extLst>
          <ext xmlns:x16="http://schemas.microsoft.com/office/spreadsheetml/2014/11/main" uri="{9835A34E-60A6-4A7C-AAB8-D5F71C897F49}">
            <x16:modelTimeGroupings>
              <x16:modelTimeGrouping tableName="Range" columnName="date" columnId="date"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  <x16:modelTimeGrouping tableName="Range" columnName="Clean_Date" columnId="Clean_Date">
                <x16:calculatedTimeColumn columnName="Clean_Date (Month Index)" columnId="Clean_Date (Month Index)" contentType="monthsindex" isSelected="1"/>
                <x16:calculatedTimeColumn columnName="Clean_Date (Month)" columnId="Clean_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8" l="1" a="1"/>
  <c r="C2" i="8" a="1"/>
  <c r="C2" i="8" s="1"/>
  <c r="A2" i="8" a="1"/>
  <c r="A2" i="8" s="1"/>
  <c r="S3" i="4" a="1"/>
  <c r="S3" i="4" s="1"/>
  <c r="U3" i="4" a="1"/>
  <c r="W3" i="4" a="1"/>
  <c r="R2" i="4" a="1"/>
  <c r="R2" i="4" s="1"/>
  <c r="O3" i="4" a="1"/>
  <c r="O3" i="4" s="1"/>
  <c r="O4" i="4" a="1"/>
  <c r="O4" i="4"/>
  <c r="O5" i="4" a="1"/>
  <c r="O5" i="4" s="1"/>
  <c r="O6" i="4" a="1"/>
  <c r="O6" i="4"/>
  <c r="O7" i="4" a="1"/>
  <c r="O7" i="4" s="1"/>
  <c r="O8" i="4" a="1"/>
  <c r="O8" i="4"/>
  <c r="O9" i="4" a="1"/>
  <c r="O9" i="4" s="1"/>
  <c r="O10" i="4" a="1"/>
  <c r="O10" i="4"/>
  <c r="O11" i="4" a="1"/>
  <c r="O11" i="4" s="1"/>
  <c r="O12" i="4" a="1"/>
  <c r="O12" i="4"/>
  <c r="O13" i="4" a="1"/>
  <c r="O13" i="4" s="1"/>
  <c r="O14" i="4" a="1"/>
  <c r="O14" i="4"/>
  <c r="O15" i="4" a="1"/>
  <c r="O15" i="4" s="1"/>
  <c r="O16" i="4" a="1"/>
  <c r="O16" i="4"/>
  <c r="O17" i="4" a="1"/>
  <c r="O17" i="4" s="1"/>
  <c r="O18" i="4" a="1"/>
  <c r="O18" i="4"/>
  <c r="O19" i="4" a="1"/>
  <c r="O19" i="4" s="1"/>
  <c r="O20" i="4" a="1"/>
  <c r="O20" i="4"/>
  <c r="O21" i="4" a="1"/>
  <c r="O21" i="4" s="1"/>
  <c r="O22" i="4" a="1"/>
  <c r="O22" i="4"/>
  <c r="O23" i="4" a="1"/>
  <c r="O23" i="4" s="1"/>
  <c r="O24" i="4" a="1"/>
  <c r="O24" i="4" s="1"/>
  <c r="O25" i="4" a="1"/>
  <c r="O25" i="4" s="1"/>
  <c r="O26" i="4" a="1"/>
  <c r="O26" i="4"/>
  <c r="O27" i="4" a="1"/>
  <c r="O27" i="4" s="1"/>
  <c r="O28" i="4" a="1"/>
  <c r="O28" i="4" s="1"/>
  <c r="O29" i="4" a="1"/>
  <c r="O29" i="4" s="1"/>
  <c r="O30" i="4" a="1"/>
  <c r="O30" i="4"/>
  <c r="O31" i="4" a="1"/>
  <c r="O31" i="4" s="1"/>
  <c r="O32" i="4" a="1"/>
  <c r="O32" i="4" s="1"/>
  <c r="O33" i="4" a="1"/>
  <c r="O33" i="4" s="1"/>
  <c r="O34" i="4" a="1"/>
  <c r="O34" i="4"/>
  <c r="O35" i="4" a="1"/>
  <c r="O35" i="4" s="1"/>
  <c r="O36" i="4" a="1"/>
  <c r="O36" i="4" s="1"/>
  <c r="O37" i="4" a="1"/>
  <c r="O37" i="4" s="1"/>
  <c r="O38" i="4" a="1"/>
  <c r="O38" i="4"/>
  <c r="O39" i="4" a="1"/>
  <c r="O39" i="4" s="1"/>
  <c r="O40" i="4" a="1"/>
  <c r="O40" i="4" s="1"/>
  <c r="O41" i="4" a="1"/>
  <c r="O41" i="4" s="1"/>
  <c r="O42" i="4" a="1"/>
  <c r="O42" i="4"/>
  <c r="O43" i="4" a="1"/>
  <c r="O43" i="4" s="1"/>
  <c r="O44" i="4" a="1"/>
  <c r="O44" i="4" s="1"/>
  <c r="O45" i="4" a="1"/>
  <c r="O45" i="4" s="1"/>
  <c r="O46" i="4" a="1"/>
  <c r="O46" i="4"/>
  <c r="O47" i="4" a="1"/>
  <c r="O47" i="4" s="1"/>
  <c r="O48" i="4" a="1"/>
  <c r="O48" i="4" s="1"/>
  <c r="O49" i="4" a="1"/>
  <c r="O49" i="4" s="1"/>
  <c r="O50" i="4" a="1"/>
  <c r="O50" i="4"/>
  <c r="O51" i="4" a="1"/>
  <c r="O51" i="4" s="1"/>
  <c r="O52" i="4" a="1"/>
  <c r="O52" i="4" s="1"/>
  <c r="O53" i="4" a="1"/>
  <c r="O53" i="4" s="1"/>
  <c r="O54" i="4" a="1"/>
  <c r="O54" i="4"/>
  <c r="O55" i="4" a="1"/>
  <c r="O55" i="4" s="1"/>
  <c r="O56" i="4" a="1"/>
  <c r="O56" i="4" s="1"/>
  <c r="O57" i="4" a="1"/>
  <c r="O57" i="4" s="1"/>
  <c r="O58" i="4" a="1"/>
  <c r="O58" i="4"/>
  <c r="O59" i="4" a="1"/>
  <c r="O59" i="4" s="1"/>
  <c r="O60" i="4" a="1"/>
  <c r="O60" i="4" s="1"/>
  <c r="O61" i="4" a="1"/>
  <c r="O61" i="4" s="1"/>
  <c r="O62" i="4" a="1"/>
  <c r="O62" i="4"/>
  <c r="O63" i="4" a="1"/>
  <c r="O63" i="4" s="1"/>
  <c r="O64" i="4" a="1"/>
  <c r="O64" i="4" s="1"/>
  <c r="O65" i="4" a="1"/>
  <c r="O65" i="4" s="1"/>
  <c r="O66" i="4" a="1"/>
  <c r="O66" i="4"/>
  <c r="O67" i="4" a="1"/>
  <c r="O67" i="4" s="1"/>
  <c r="O68" i="4" a="1"/>
  <c r="O68" i="4" s="1"/>
  <c r="O69" i="4" a="1"/>
  <c r="O69" i="4" s="1"/>
  <c r="O70" i="4" a="1"/>
  <c r="O70" i="4"/>
  <c r="O71" i="4" a="1"/>
  <c r="O71" i="4" s="1"/>
  <c r="O72" i="4" a="1"/>
  <c r="O72" i="4" s="1"/>
  <c r="O73" i="4" a="1"/>
  <c r="O73" i="4" s="1"/>
  <c r="O74" i="4" a="1"/>
  <c r="O74" i="4"/>
  <c r="O75" i="4" a="1"/>
  <c r="O75" i="4" s="1"/>
  <c r="O76" i="4" a="1"/>
  <c r="O76" i="4" s="1"/>
  <c r="O77" i="4" a="1"/>
  <c r="O77" i="4" s="1"/>
  <c r="O78" i="4" a="1"/>
  <c r="O78" i="4"/>
  <c r="O79" i="4" a="1"/>
  <c r="O79" i="4" s="1"/>
  <c r="O80" i="4" a="1"/>
  <c r="O80" i="4" s="1"/>
  <c r="O81" i="4" a="1"/>
  <c r="O81" i="4" s="1"/>
  <c r="O82" i="4" a="1"/>
  <c r="O82" i="4"/>
  <c r="O83" i="4" a="1"/>
  <c r="O83" i="4" s="1"/>
  <c r="O84" i="4" a="1"/>
  <c r="O84" i="4" s="1"/>
  <c r="O85" i="4" a="1"/>
  <c r="O85" i="4" s="1"/>
  <c r="O86" i="4" a="1"/>
  <c r="O86" i="4"/>
  <c r="O87" i="4" a="1"/>
  <c r="O87" i="4" s="1"/>
  <c r="O88" i="4" a="1"/>
  <c r="O88" i="4" s="1"/>
  <c r="O89" i="4" a="1"/>
  <c r="O89" i="4" s="1"/>
  <c r="O90" i="4" a="1"/>
  <c r="O90" i="4"/>
  <c r="O91" i="4" a="1"/>
  <c r="O91" i="4" s="1"/>
  <c r="O92" i="4" a="1"/>
  <c r="O92" i="4" s="1"/>
  <c r="O93" i="4" a="1"/>
  <c r="O93" i="4" s="1"/>
  <c r="O94" i="4" a="1"/>
  <c r="O94" i="4"/>
  <c r="O95" i="4" a="1"/>
  <c r="O95" i="4" s="1"/>
  <c r="O96" i="4" a="1"/>
  <c r="O96" i="4" s="1"/>
  <c r="O97" i="4" a="1"/>
  <c r="O97" i="4" s="1"/>
  <c r="O98" i="4" a="1"/>
  <c r="O98" i="4"/>
  <c r="O99" i="4" a="1"/>
  <c r="O99" i="4" s="1"/>
  <c r="O100" i="4" a="1"/>
  <c r="O100" i="4" s="1"/>
  <c r="O101" i="4" a="1"/>
  <c r="O101" i="4" s="1"/>
  <c r="O102" i="4" a="1"/>
  <c r="O102" i="4"/>
  <c r="O103" i="4" a="1"/>
  <c r="O103" i="4" s="1"/>
  <c r="O104" i="4" a="1"/>
  <c r="O104" i="4" s="1"/>
  <c r="O105" i="4" a="1"/>
  <c r="O105" i="4" s="1"/>
  <c r="O106" i="4" a="1"/>
  <c r="O106" i="4"/>
  <c r="O107" i="4" a="1"/>
  <c r="O107" i="4" s="1"/>
  <c r="O108" i="4" a="1"/>
  <c r="O108" i="4" s="1"/>
  <c r="O109" i="4" a="1"/>
  <c r="O109" i="4" s="1"/>
  <c r="O110" i="4" a="1"/>
  <c r="O110" i="4"/>
  <c r="O111" i="4" a="1"/>
  <c r="O111" i="4" s="1"/>
  <c r="O112" i="4" a="1"/>
  <c r="O112" i="4" s="1"/>
  <c r="O113" i="4" a="1"/>
  <c r="O113" i="4" s="1"/>
  <c r="O114" i="4" a="1"/>
  <c r="O114" i="4"/>
  <c r="O115" i="4" a="1"/>
  <c r="O115" i="4" s="1"/>
  <c r="O116" i="4" a="1"/>
  <c r="O116" i="4" s="1"/>
  <c r="O117" i="4" a="1"/>
  <c r="O117" i="4" s="1"/>
  <c r="O118" i="4" a="1"/>
  <c r="O118" i="4"/>
  <c r="O119" i="4" a="1"/>
  <c r="O119" i="4" s="1"/>
  <c r="O120" i="4" a="1"/>
  <c r="O120" i="4" s="1"/>
  <c r="O121" i="4" a="1"/>
  <c r="O121" i="4" s="1"/>
  <c r="O122" i="4" a="1"/>
  <c r="O122" i="4"/>
  <c r="O123" i="4" a="1"/>
  <c r="O123" i="4" s="1"/>
  <c r="O124" i="4" a="1"/>
  <c r="O124" i="4" s="1"/>
  <c r="O125" i="4" a="1"/>
  <c r="O125" i="4" s="1"/>
  <c r="O126" i="4" a="1"/>
  <c r="O126" i="4"/>
  <c r="O127" i="4" a="1"/>
  <c r="O127" i="4" s="1"/>
  <c r="O128" i="4" a="1"/>
  <c r="O128" i="4" s="1"/>
  <c r="O129" i="4" a="1"/>
  <c r="O129" i="4" s="1"/>
  <c r="O130" i="4" a="1"/>
  <c r="O130" i="4"/>
  <c r="O131" i="4" a="1"/>
  <c r="O131" i="4" s="1"/>
  <c r="O132" i="4" a="1"/>
  <c r="O132" i="4" s="1"/>
  <c r="O133" i="4" a="1"/>
  <c r="O133" i="4" s="1"/>
  <c r="O134" i="4" a="1"/>
  <c r="O134" i="4"/>
  <c r="O135" i="4" a="1"/>
  <c r="O135" i="4" s="1"/>
  <c r="O136" i="4" a="1"/>
  <c r="O136" i="4" s="1"/>
  <c r="O137" i="4" a="1"/>
  <c r="O137" i="4" s="1"/>
  <c r="O138" i="4" a="1"/>
  <c r="O138" i="4"/>
  <c r="O139" i="4" a="1"/>
  <c r="O139" i="4" s="1"/>
  <c r="O140" i="4" a="1"/>
  <c r="O140" i="4" s="1"/>
  <c r="O141" i="4" a="1"/>
  <c r="O141" i="4" s="1"/>
  <c r="O142" i="4" a="1"/>
  <c r="O142" i="4"/>
  <c r="O143" i="4" a="1"/>
  <c r="O143" i="4" s="1"/>
  <c r="O144" i="4" a="1"/>
  <c r="O144" i="4" s="1"/>
  <c r="O145" i="4" a="1"/>
  <c r="O145" i="4" s="1"/>
  <c r="O146" i="4" a="1"/>
  <c r="O146" i="4"/>
  <c r="O147" i="4" a="1"/>
  <c r="O147" i="4" s="1"/>
  <c r="O148" i="4" a="1"/>
  <c r="O148" i="4" s="1"/>
  <c r="O149" i="4" a="1"/>
  <c r="O149" i="4" s="1"/>
  <c r="O150" i="4" a="1"/>
  <c r="O150" i="4"/>
  <c r="O151" i="4" a="1"/>
  <c r="O151" i="4" s="1"/>
  <c r="O152" i="4" a="1"/>
  <c r="O152" i="4" s="1"/>
  <c r="O153" i="4" a="1"/>
  <c r="O153" i="4" s="1"/>
  <c r="O154" i="4" a="1"/>
  <c r="O154" i="4"/>
  <c r="O155" i="4" a="1"/>
  <c r="O155" i="4" s="1"/>
  <c r="O156" i="4" a="1"/>
  <c r="O156" i="4" s="1"/>
  <c r="O157" i="4" a="1"/>
  <c r="O157" i="4" s="1"/>
  <c r="O158" i="4" a="1"/>
  <c r="O158" i="4"/>
  <c r="O159" i="4" a="1"/>
  <c r="O159" i="4" s="1"/>
  <c r="O160" i="4" a="1"/>
  <c r="O160" i="4" s="1"/>
  <c r="O161" i="4" a="1"/>
  <c r="O161" i="4" s="1"/>
  <c r="O162" i="4" a="1"/>
  <c r="O162" i="4"/>
  <c r="O163" i="4" a="1"/>
  <c r="O163" i="4" s="1"/>
  <c r="O164" i="4" a="1"/>
  <c r="O164" i="4" s="1"/>
  <c r="O165" i="4" a="1"/>
  <c r="O165" i="4" s="1"/>
  <c r="O166" i="4" a="1"/>
  <c r="O166" i="4"/>
  <c r="O167" i="4" a="1"/>
  <c r="O167" i="4" s="1"/>
  <c r="O168" i="4" a="1"/>
  <c r="O168" i="4" s="1"/>
  <c r="O169" i="4" a="1"/>
  <c r="O169" i="4" s="1"/>
  <c r="O170" i="4" a="1"/>
  <c r="O170" i="4"/>
  <c r="O171" i="4" a="1"/>
  <c r="O171" i="4" s="1"/>
  <c r="O172" i="4" a="1"/>
  <c r="O172" i="4" s="1"/>
  <c r="O173" i="4" a="1"/>
  <c r="O173" i="4" s="1"/>
  <c r="O174" i="4" a="1"/>
  <c r="O174" i="4" s="1"/>
  <c r="O175" i="4" a="1"/>
  <c r="O175" i="4" s="1"/>
  <c r="O176" i="4" a="1"/>
  <c r="O176" i="4" s="1"/>
  <c r="O177" i="4" a="1"/>
  <c r="O177" i="4" s="1"/>
  <c r="O178" i="4" a="1"/>
  <c r="O178" i="4" s="1"/>
  <c r="O179" i="4" a="1"/>
  <c r="O179" i="4" s="1"/>
  <c r="O180" i="4" a="1"/>
  <c r="O180" i="4" s="1"/>
  <c r="O181" i="4" a="1"/>
  <c r="O181" i="4" s="1"/>
  <c r="O182" i="4" a="1"/>
  <c r="O182" i="4" s="1"/>
  <c r="O183" i="4" a="1"/>
  <c r="O183" i="4" s="1"/>
  <c r="O184" i="4" a="1"/>
  <c r="O184" i="4" s="1"/>
  <c r="O185" i="4" a="1"/>
  <c r="O185" i="4" s="1"/>
  <c r="O186" i="4" a="1"/>
  <c r="O186" i="4" s="1"/>
  <c r="O187" i="4" a="1"/>
  <c r="O187" i="4" s="1"/>
  <c r="O188" i="4" a="1"/>
  <c r="O188" i="4" s="1"/>
  <c r="O189" i="4" a="1"/>
  <c r="O189" i="4" s="1"/>
  <c r="O190" i="4" a="1"/>
  <c r="O190" i="4" s="1"/>
  <c r="O191" i="4" a="1"/>
  <c r="O191" i="4" s="1"/>
  <c r="O192" i="4" a="1"/>
  <c r="O192" i="4" s="1"/>
  <c r="O193" i="4" a="1"/>
  <c r="O193" i="4" s="1"/>
  <c r="O194" i="4" a="1"/>
  <c r="O194" i="4" s="1"/>
  <c r="O195" i="4" a="1"/>
  <c r="O195" i="4" s="1"/>
  <c r="O196" i="4" a="1"/>
  <c r="O196" i="4" s="1"/>
  <c r="O197" i="4" a="1"/>
  <c r="O197" i="4" s="1"/>
  <c r="O198" i="4" a="1"/>
  <c r="O198" i="4" s="1"/>
  <c r="O199" i="4" a="1"/>
  <c r="O199" i="4" s="1"/>
  <c r="O200" i="4" a="1"/>
  <c r="O200" i="4" s="1"/>
  <c r="O201" i="4" a="1"/>
  <c r="O201" i="4" s="1"/>
  <c r="O202" i="4" a="1"/>
  <c r="O202" i="4" s="1"/>
  <c r="O203" i="4" a="1"/>
  <c r="O203" i="4" s="1"/>
  <c r="O204" i="4" a="1"/>
  <c r="O204" i="4" s="1"/>
  <c r="O205" i="4" a="1"/>
  <c r="O205" i="4" s="1"/>
  <c r="O206" i="4" a="1"/>
  <c r="O206" i="4" s="1"/>
  <c r="O207" i="4" a="1"/>
  <c r="O207" i="4" s="1"/>
  <c r="O208" i="4" a="1"/>
  <c r="O208" i="4" s="1"/>
  <c r="O209" i="4" a="1"/>
  <c r="O209" i="4" s="1"/>
  <c r="O210" i="4" a="1"/>
  <c r="O210" i="4" s="1"/>
  <c r="O211" i="4" a="1"/>
  <c r="O211" i="4" s="1"/>
  <c r="O212" i="4" a="1"/>
  <c r="O212" i="4" s="1"/>
  <c r="O213" i="4" a="1"/>
  <c r="O213" i="4" s="1"/>
  <c r="O214" i="4" a="1"/>
  <c r="O214" i="4" s="1"/>
  <c r="O215" i="4" a="1"/>
  <c r="O215" i="4" s="1"/>
  <c r="O216" i="4" a="1"/>
  <c r="O216" i="4" s="1"/>
  <c r="O217" i="4" a="1"/>
  <c r="O217" i="4" s="1"/>
  <c r="O218" i="4" a="1"/>
  <c r="O218" i="4" s="1"/>
  <c r="O219" i="4" a="1"/>
  <c r="O219" i="4" s="1"/>
  <c r="O220" i="4" a="1"/>
  <c r="O220" i="4" s="1"/>
  <c r="O221" i="4" a="1"/>
  <c r="O221" i="4" s="1"/>
  <c r="O222" i="4" a="1"/>
  <c r="O222" i="4" s="1"/>
  <c r="O223" i="4" a="1"/>
  <c r="O223" i="4" s="1"/>
  <c r="O224" i="4" a="1"/>
  <c r="O224" i="4" s="1"/>
  <c r="O225" i="4" a="1"/>
  <c r="O225" i="4" s="1"/>
  <c r="O226" i="4" a="1"/>
  <c r="O226" i="4" s="1"/>
  <c r="O227" i="4" a="1"/>
  <c r="O227" i="4" s="1"/>
  <c r="O228" i="4" a="1"/>
  <c r="O228" i="4" s="1"/>
  <c r="O229" i="4" a="1"/>
  <c r="O229" i="4" s="1"/>
  <c r="O230" i="4" a="1"/>
  <c r="O230" i="4" s="1"/>
  <c r="O231" i="4" a="1"/>
  <c r="O231" i="4" s="1"/>
  <c r="O232" i="4" a="1"/>
  <c r="O232" i="4" s="1"/>
  <c r="O233" i="4" a="1"/>
  <c r="O233" i="4" s="1"/>
  <c r="O234" i="4" a="1"/>
  <c r="O234" i="4" s="1"/>
  <c r="O235" i="4" a="1"/>
  <c r="O235" i="4" s="1"/>
  <c r="O236" i="4" a="1"/>
  <c r="O236" i="4" s="1"/>
  <c r="O237" i="4" a="1"/>
  <c r="O237" i="4" s="1"/>
  <c r="O238" i="4" a="1"/>
  <c r="O238" i="4" s="1"/>
  <c r="O239" i="4" a="1"/>
  <c r="O239" i="4" s="1"/>
  <c r="O240" i="4" a="1"/>
  <c r="O240" i="4" s="1"/>
  <c r="O241" i="4" a="1"/>
  <c r="O241" i="4" s="1"/>
  <c r="O242" i="4" a="1"/>
  <c r="O242" i="4" s="1"/>
  <c r="O243" i="4" a="1"/>
  <c r="O243" i="4" s="1"/>
  <c r="O244" i="4" a="1"/>
  <c r="O244" i="4" s="1"/>
  <c r="O245" i="4" a="1"/>
  <c r="O245" i="4" s="1"/>
  <c r="O246" i="4" a="1"/>
  <c r="O246" i="4" s="1"/>
  <c r="O247" i="4" a="1"/>
  <c r="O247" i="4" s="1"/>
  <c r="O248" i="4" a="1"/>
  <c r="O248" i="4" s="1"/>
  <c r="O249" i="4" a="1"/>
  <c r="O249" i="4" s="1"/>
  <c r="O250" i="4" a="1"/>
  <c r="O250" i="4" s="1"/>
  <c r="O251" i="4" a="1"/>
  <c r="O251" i="4" s="1"/>
  <c r="O252" i="4" a="1"/>
  <c r="O252" i="4" s="1"/>
  <c r="O253" i="4" a="1"/>
  <c r="O253" i="4" s="1"/>
  <c r="O254" i="4" a="1"/>
  <c r="O254" i="4" s="1"/>
  <c r="O255" i="4" a="1"/>
  <c r="O255" i="4" s="1"/>
  <c r="O256" i="4" a="1"/>
  <c r="O256" i="4" s="1"/>
  <c r="O257" i="4" a="1"/>
  <c r="O257" i="4" s="1"/>
  <c r="O258" i="4" a="1"/>
  <c r="O258" i="4" s="1"/>
  <c r="O259" i="4" a="1"/>
  <c r="O259" i="4" s="1"/>
  <c r="O260" i="4" a="1"/>
  <c r="O260" i="4" s="1"/>
  <c r="O261" i="4" a="1"/>
  <c r="O261" i="4" s="1"/>
  <c r="O262" i="4" a="1"/>
  <c r="O262" i="4" s="1"/>
  <c r="O263" i="4" a="1"/>
  <c r="O263" i="4" s="1"/>
  <c r="O264" i="4" a="1"/>
  <c r="O264" i="4" s="1"/>
  <c r="O265" i="4" a="1"/>
  <c r="O265" i="4" s="1"/>
  <c r="O266" i="4" a="1"/>
  <c r="O266" i="4" s="1"/>
  <c r="O267" i="4" a="1"/>
  <c r="O267" i="4" s="1"/>
  <c r="O268" i="4" a="1"/>
  <c r="O268" i="4" s="1"/>
  <c r="O269" i="4" a="1"/>
  <c r="O269" i="4" s="1"/>
  <c r="O270" i="4" a="1"/>
  <c r="O270" i="4" s="1"/>
  <c r="O271" i="4" a="1"/>
  <c r="O271" i="4" s="1"/>
  <c r="O272" i="4" a="1"/>
  <c r="O272" i="4" s="1"/>
  <c r="O273" i="4" a="1"/>
  <c r="O273" i="4" s="1"/>
  <c r="O274" i="4" a="1"/>
  <c r="O274" i="4" s="1"/>
  <c r="O275" i="4" a="1"/>
  <c r="O275" i="4" s="1"/>
  <c r="O276" i="4" a="1"/>
  <c r="O276" i="4" s="1"/>
  <c r="O277" i="4" a="1"/>
  <c r="O277" i="4" s="1"/>
  <c r="O278" i="4" a="1"/>
  <c r="O278" i="4" s="1"/>
  <c r="O279" i="4" a="1"/>
  <c r="O279" i="4" s="1"/>
  <c r="O280" i="4" a="1"/>
  <c r="O280" i="4" s="1"/>
  <c r="O281" i="4" a="1"/>
  <c r="O281" i="4" s="1"/>
  <c r="O282" i="4" a="1"/>
  <c r="O282" i="4" s="1"/>
  <c r="O283" i="4" a="1"/>
  <c r="O283" i="4" s="1"/>
  <c r="O284" i="4" a="1"/>
  <c r="O284" i="4" s="1"/>
  <c r="O285" i="4" a="1"/>
  <c r="O285" i="4" s="1"/>
  <c r="O286" i="4" a="1"/>
  <c r="O286" i="4" s="1"/>
  <c r="O287" i="4" a="1"/>
  <c r="O287" i="4" s="1"/>
  <c r="O288" i="4" a="1"/>
  <c r="O288" i="4" s="1"/>
  <c r="O289" i="4" a="1"/>
  <c r="O289" i="4" s="1"/>
  <c r="O290" i="4" a="1"/>
  <c r="O290" i="4" s="1"/>
  <c r="O291" i="4" a="1"/>
  <c r="O291" i="4" s="1"/>
  <c r="O292" i="4" a="1"/>
  <c r="O292" i="4" s="1"/>
  <c r="O293" i="4" a="1"/>
  <c r="O293" i="4" s="1"/>
  <c r="O294" i="4" a="1"/>
  <c r="O294" i="4" s="1"/>
  <c r="O295" i="4" a="1"/>
  <c r="O295" i="4" s="1"/>
  <c r="O296" i="4" a="1"/>
  <c r="O296" i="4" s="1"/>
  <c r="O297" i="4" a="1"/>
  <c r="O297" i="4" s="1"/>
  <c r="O298" i="4" a="1"/>
  <c r="O298" i="4" s="1"/>
  <c r="O299" i="4" a="1"/>
  <c r="O299" i="4" s="1"/>
  <c r="O300" i="4" a="1"/>
  <c r="O300" i="4" s="1"/>
  <c r="O301" i="4" a="1"/>
  <c r="O301" i="4" s="1"/>
  <c r="O302" i="4" a="1"/>
  <c r="O302" i="4" s="1"/>
  <c r="O303" i="4" a="1"/>
  <c r="O303" i="4" s="1"/>
  <c r="O304" i="4" a="1"/>
  <c r="O304" i="4"/>
  <c r="O305" i="4" a="1"/>
  <c r="O305" i="4"/>
  <c r="O306" i="4" a="1"/>
  <c r="O306" i="4"/>
  <c r="O307" i="4" a="1"/>
  <c r="O307" i="4"/>
  <c r="O308" i="4" a="1"/>
  <c r="O308" i="4"/>
  <c r="O309" i="4" a="1"/>
  <c r="O309" i="4"/>
  <c r="O310" i="4" a="1"/>
  <c r="O310" i="4"/>
  <c r="O311" i="4" a="1"/>
  <c r="O311" i="4"/>
  <c r="O312" i="4" a="1"/>
  <c r="O312" i="4"/>
  <c r="O313" i="4" a="1"/>
  <c r="O313" i="4"/>
  <c r="O314" i="4" a="1"/>
  <c r="O314" i="4"/>
  <c r="O315" i="4" a="1"/>
  <c r="O315" i="4"/>
  <c r="O316" i="4" a="1"/>
  <c r="O316" i="4"/>
  <c r="O317" i="4" a="1"/>
  <c r="O317" i="4"/>
  <c r="O318" i="4" a="1"/>
  <c r="O318" i="4"/>
  <c r="O319" i="4" a="1"/>
  <c r="O319" i="4"/>
  <c r="O320" i="4" a="1"/>
  <c r="O320" i="4"/>
  <c r="O321" i="4" a="1"/>
  <c r="O321" i="4"/>
  <c r="O322" i="4" a="1"/>
  <c r="O322" i="4"/>
  <c r="O323" i="4" a="1"/>
  <c r="O323" i="4"/>
  <c r="O324" i="4" a="1"/>
  <c r="O324" i="4"/>
  <c r="O325" i="4" a="1"/>
  <c r="O325" i="4"/>
  <c r="O326" i="4" a="1"/>
  <c r="O326" i="4"/>
  <c r="O327" i="4" a="1"/>
  <c r="O327" i="4"/>
  <c r="O328" i="4" a="1"/>
  <c r="O328" i="4"/>
  <c r="O329" i="4" a="1"/>
  <c r="O329" i="4"/>
  <c r="O330" i="4" a="1"/>
  <c r="O330" i="4"/>
  <c r="O331" i="4" a="1"/>
  <c r="O331" i="4"/>
  <c r="O332" i="4" a="1"/>
  <c r="O332" i="4"/>
  <c r="O333" i="4" a="1"/>
  <c r="O333" i="4"/>
  <c r="O334" i="4" a="1"/>
  <c r="O334" i="4"/>
  <c r="O335" i="4" a="1"/>
  <c r="O335" i="4"/>
  <c r="O336" i="4" a="1"/>
  <c r="O336" i="4"/>
  <c r="O337" i="4" a="1"/>
  <c r="O337" i="4"/>
  <c r="O338" i="4" a="1"/>
  <c r="O338" i="4"/>
  <c r="O339" i="4" a="1"/>
  <c r="O339" i="4"/>
  <c r="O340" i="4" a="1"/>
  <c r="O340" i="4"/>
  <c r="O341" i="4" a="1"/>
  <c r="O341" i="4"/>
  <c r="O342" i="4" a="1"/>
  <c r="O342" i="4"/>
  <c r="O343" i="4" a="1"/>
  <c r="O343" i="4"/>
  <c r="O344" i="4" a="1"/>
  <c r="O344" i="4"/>
  <c r="O345" i="4" a="1"/>
  <c r="O345" i="4"/>
  <c r="O346" i="4" a="1"/>
  <c r="O346" i="4"/>
  <c r="O347" i="4" a="1"/>
  <c r="O347" i="4"/>
  <c r="O348" i="4" a="1"/>
  <c r="O348" i="4"/>
  <c r="O349" i="4" a="1"/>
  <c r="O349" i="4"/>
  <c r="O350" i="4" a="1"/>
  <c r="O350" i="4"/>
  <c r="O351" i="4" a="1"/>
  <c r="O351" i="4"/>
  <c r="O352" i="4" a="1"/>
  <c r="O352" i="4"/>
  <c r="O353" i="4" a="1"/>
  <c r="O353" i="4"/>
  <c r="O354" i="4" a="1"/>
  <c r="O354" i="4"/>
  <c r="O355" i="4" a="1"/>
  <c r="O355" i="4"/>
  <c r="O356" i="4" a="1"/>
  <c r="O356" i="4"/>
  <c r="O357" i="4" a="1"/>
  <c r="O357" i="4"/>
  <c r="O358" i="4" a="1"/>
  <c r="O358" i="4"/>
  <c r="O359" i="4" a="1"/>
  <c r="O359" i="4"/>
  <c r="O360" i="4" a="1"/>
  <c r="O360" i="4"/>
  <c r="O361" i="4" a="1"/>
  <c r="O361" i="4"/>
  <c r="O362" i="4" a="1"/>
  <c r="O362" i="4"/>
  <c r="O363" i="4" a="1"/>
  <c r="O363" i="4"/>
  <c r="O364" i="4" a="1"/>
  <c r="O364" i="4"/>
  <c r="O365" i="4" a="1"/>
  <c r="O365" i="4"/>
  <c r="O366" i="4" a="1"/>
  <c r="O366" i="4"/>
  <c r="O367" i="4" a="1"/>
  <c r="O367" i="4"/>
  <c r="O368" i="4" a="1"/>
  <c r="O368" i="4" s="1"/>
  <c r="O369" i="4" a="1"/>
  <c r="O369" i="4"/>
  <c r="O370" i="4" a="1"/>
  <c r="O370" i="4" s="1"/>
  <c r="O371" i="4" a="1"/>
  <c r="O371" i="4"/>
  <c r="O372" i="4" a="1"/>
  <c r="O372" i="4" s="1"/>
  <c r="O373" i="4" a="1"/>
  <c r="O373" i="4"/>
  <c r="O374" i="4" a="1"/>
  <c r="O374" i="4" s="1"/>
  <c r="O375" i="4" a="1"/>
  <c r="O375" i="4"/>
  <c r="O376" i="4" a="1"/>
  <c r="O376" i="4" s="1"/>
  <c r="O377" i="4" a="1"/>
  <c r="O377" i="4"/>
  <c r="O378" i="4" a="1"/>
  <c r="O378" i="4" s="1"/>
  <c r="O379" i="4" a="1"/>
  <c r="O379" i="4"/>
  <c r="O380" i="4" a="1"/>
  <c r="O380" i="4" s="1"/>
  <c r="O381" i="4" a="1"/>
  <c r="O381" i="4"/>
  <c r="O382" i="4" a="1"/>
  <c r="O382" i="4" s="1"/>
  <c r="O383" i="4" a="1"/>
  <c r="O383" i="4"/>
  <c r="O384" i="4" a="1"/>
  <c r="O384" i="4" s="1"/>
  <c r="O385" i="4" a="1"/>
  <c r="O385" i="4"/>
  <c r="O386" i="4" a="1"/>
  <c r="O386" i="4" s="1"/>
  <c r="O387" i="4" a="1"/>
  <c r="O387" i="4"/>
  <c r="O388" i="4" a="1"/>
  <c r="O388" i="4" s="1"/>
  <c r="O389" i="4" a="1"/>
  <c r="O389" i="4"/>
  <c r="O390" i="4" a="1"/>
  <c r="O390" i="4" s="1"/>
  <c r="O391" i="4" a="1"/>
  <c r="O391" i="4"/>
  <c r="O392" i="4" a="1"/>
  <c r="O392" i="4" s="1"/>
  <c r="O393" i="4" a="1"/>
  <c r="O393" i="4"/>
  <c r="O394" i="4" a="1"/>
  <c r="O394" i="4" s="1"/>
  <c r="O395" i="4" a="1"/>
  <c r="O395" i="4"/>
  <c r="O396" i="4" a="1"/>
  <c r="O396" i="4" s="1"/>
  <c r="O397" i="4" a="1"/>
  <c r="O397" i="4"/>
  <c r="O398" i="4" a="1"/>
  <c r="O398" i="4" s="1"/>
  <c r="O399" i="4" a="1"/>
  <c r="O399" i="4"/>
  <c r="O400" i="4" a="1"/>
  <c r="O400" i="4" s="1"/>
  <c r="O401" i="4" a="1"/>
  <c r="O401" i="4"/>
  <c r="O402" i="4" a="1"/>
  <c r="O402" i="4" s="1"/>
  <c r="O403" i="4" a="1"/>
  <c r="O403" i="4"/>
  <c r="O404" i="4" a="1"/>
  <c r="O404" i="4" s="1"/>
  <c r="O405" i="4" a="1"/>
  <c r="O405" i="4"/>
  <c r="O406" i="4" a="1"/>
  <c r="O406" i="4" s="1"/>
  <c r="O407" i="4" a="1"/>
  <c r="O407" i="4"/>
  <c r="O408" i="4" a="1"/>
  <c r="O408" i="4" s="1"/>
  <c r="O409" i="4" a="1"/>
  <c r="O409" i="4"/>
  <c r="O410" i="4" a="1"/>
  <c r="O410" i="4" s="1"/>
  <c r="O411" i="4" a="1"/>
  <c r="O411" i="4"/>
  <c r="O412" i="4" a="1"/>
  <c r="O412" i="4" s="1"/>
  <c r="O413" i="4" a="1"/>
  <c r="O413" i="4"/>
  <c r="O414" i="4" a="1"/>
  <c r="O414" i="4" s="1"/>
  <c r="O415" i="4" a="1"/>
  <c r="O415" i="4"/>
  <c r="O416" i="4" a="1"/>
  <c r="O416" i="4" s="1"/>
  <c r="O417" i="4" a="1"/>
  <c r="O417" i="4"/>
  <c r="O418" i="4" a="1"/>
  <c r="O418" i="4" s="1"/>
  <c r="O419" i="4" a="1"/>
  <c r="O419" i="4"/>
  <c r="O420" i="4" a="1"/>
  <c r="O420" i="4" s="1"/>
  <c r="O421" i="4" a="1"/>
  <c r="O421" i="4"/>
  <c r="O422" i="4" a="1"/>
  <c r="O422" i="4" s="1"/>
  <c r="O423" i="4" a="1"/>
  <c r="O423" i="4"/>
  <c r="O424" i="4" a="1"/>
  <c r="O424" i="4" s="1"/>
  <c r="O425" i="4" a="1"/>
  <c r="O425" i="4"/>
  <c r="O426" i="4" a="1"/>
  <c r="O426" i="4" s="1"/>
  <c r="O427" i="4" a="1"/>
  <c r="O427" i="4"/>
  <c r="O428" i="4" a="1"/>
  <c r="O428" i="4" s="1"/>
  <c r="O429" i="4" a="1"/>
  <c r="O429" i="4"/>
  <c r="O430" i="4" a="1"/>
  <c r="O430" i="4" s="1"/>
  <c r="O431" i="4" a="1"/>
  <c r="O431" i="4"/>
  <c r="O432" i="4" a="1"/>
  <c r="O432" i="4" s="1"/>
  <c r="O433" i="4" a="1"/>
  <c r="O433" i="4"/>
  <c r="O434" i="4" a="1"/>
  <c r="O434" i="4" s="1"/>
  <c r="O435" i="4" a="1"/>
  <c r="O435" i="4"/>
  <c r="O436" i="4" a="1"/>
  <c r="O436" i="4" s="1"/>
  <c r="O437" i="4" a="1"/>
  <c r="O437" i="4"/>
  <c r="O438" i="4" a="1"/>
  <c r="O438" i="4" s="1"/>
  <c r="O439" i="4" a="1"/>
  <c r="O439" i="4"/>
  <c r="O440" i="4" a="1"/>
  <c r="O440" i="4" s="1"/>
  <c r="O441" i="4" a="1"/>
  <c r="O441" i="4"/>
  <c r="O442" i="4" a="1"/>
  <c r="O442" i="4" s="1"/>
  <c r="O443" i="4" a="1"/>
  <c r="O443" i="4"/>
  <c r="O444" i="4" a="1"/>
  <c r="O444" i="4" s="1"/>
  <c r="O445" i="4" a="1"/>
  <c r="O445" i="4"/>
  <c r="O446" i="4" a="1"/>
  <c r="O446" i="4" s="1"/>
  <c r="O447" i="4" a="1"/>
  <c r="O447" i="4"/>
  <c r="O448" i="4" a="1"/>
  <c r="O448" i="4" s="1"/>
  <c r="O449" i="4" a="1"/>
  <c r="O449" i="4"/>
  <c r="O450" i="4" a="1"/>
  <c r="O450" i="4" s="1"/>
  <c r="O451" i="4" a="1"/>
  <c r="O451" i="4"/>
  <c r="O452" i="4" a="1"/>
  <c r="O452" i="4" s="1"/>
  <c r="O453" i="4" a="1"/>
  <c r="O453" i="4"/>
  <c r="O454" i="4" a="1"/>
  <c r="O454" i="4" s="1"/>
  <c r="O455" i="4" a="1"/>
  <c r="O455" i="4"/>
  <c r="O456" i="4" a="1"/>
  <c r="O456" i="4" s="1"/>
  <c r="O457" i="4" a="1"/>
  <c r="O457" i="4"/>
  <c r="O458" i="4" a="1"/>
  <c r="O458" i="4" s="1"/>
  <c r="O459" i="4" a="1"/>
  <c r="O459" i="4"/>
  <c r="O460" i="4" a="1"/>
  <c r="O460" i="4" s="1"/>
  <c r="O461" i="4" a="1"/>
  <c r="O461" i="4"/>
  <c r="O462" i="4" a="1"/>
  <c r="O462" i="4" s="1"/>
  <c r="O463" i="4" a="1"/>
  <c r="O463" i="4"/>
  <c r="O464" i="4" a="1"/>
  <c r="O464" i="4" s="1"/>
  <c r="O465" i="4" a="1"/>
  <c r="O465" i="4"/>
  <c r="O466" i="4" a="1"/>
  <c r="O466" i="4" s="1"/>
  <c r="O467" i="4" a="1"/>
  <c r="O467" i="4"/>
  <c r="O468" i="4" a="1"/>
  <c r="O468" i="4" s="1"/>
  <c r="O469" i="4" a="1"/>
  <c r="O469" i="4"/>
  <c r="O470" i="4" a="1"/>
  <c r="O470" i="4" s="1"/>
  <c r="O471" i="4" a="1"/>
  <c r="O471" i="4"/>
  <c r="O472" i="4" a="1"/>
  <c r="O472" i="4" s="1"/>
  <c r="O473" i="4" a="1"/>
  <c r="O473" i="4"/>
  <c r="O474" i="4" a="1"/>
  <c r="O474" i="4" s="1"/>
  <c r="O475" i="4" a="1"/>
  <c r="O475" i="4"/>
  <c r="O476" i="4" a="1"/>
  <c r="O476" i="4" s="1"/>
  <c r="O477" i="4" a="1"/>
  <c r="O477" i="4"/>
  <c r="O478" i="4" a="1"/>
  <c r="O478" i="4" s="1"/>
  <c r="O479" i="4" a="1"/>
  <c r="O479" i="4"/>
  <c r="O480" i="4" a="1"/>
  <c r="O480" i="4" s="1"/>
  <c r="O481" i="4" a="1"/>
  <c r="O481" i="4"/>
  <c r="O482" i="4" a="1"/>
  <c r="O482" i="4" s="1"/>
  <c r="O483" i="4" a="1"/>
  <c r="O483" i="4"/>
  <c r="O484" i="4" a="1"/>
  <c r="O484" i="4" s="1"/>
  <c r="O485" i="4" a="1"/>
  <c r="O485" i="4"/>
  <c r="O486" i="4" a="1"/>
  <c r="O486" i="4" s="1"/>
  <c r="O487" i="4" a="1"/>
  <c r="O487" i="4"/>
  <c r="O488" i="4" a="1"/>
  <c r="O488" i="4" s="1"/>
  <c r="O489" i="4" a="1"/>
  <c r="O489" i="4"/>
  <c r="O490" i="4" a="1"/>
  <c r="O490" i="4" s="1"/>
  <c r="O491" i="4" a="1"/>
  <c r="O491" i="4"/>
  <c r="O492" i="4" a="1"/>
  <c r="O492" i="4" s="1"/>
  <c r="O493" i="4" a="1"/>
  <c r="O493" i="4"/>
  <c r="O494" i="4" a="1"/>
  <c r="O494" i="4" s="1"/>
  <c r="O495" i="4" a="1"/>
  <c r="O495" i="4"/>
  <c r="O496" i="4" a="1"/>
  <c r="O496" i="4" s="1"/>
  <c r="O497" i="4" a="1"/>
  <c r="O497" i="4"/>
  <c r="O498" i="4" a="1"/>
  <c r="O498" i="4" s="1"/>
  <c r="O499" i="4" a="1"/>
  <c r="O499" i="4"/>
  <c r="O500" i="4" a="1"/>
  <c r="O500" i="4" s="1"/>
  <c r="O501" i="4" a="1"/>
  <c r="O501" i="4"/>
  <c r="O502" i="4" a="1"/>
  <c r="O502" i="4" s="1"/>
  <c r="O503" i="4" a="1"/>
  <c r="O503" i="4"/>
  <c r="O504" i="4" a="1"/>
  <c r="O504" i="4" s="1"/>
  <c r="O505" i="4" a="1"/>
  <c r="O505" i="4"/>
  <c r="O506" i="4" a="1"/>
  <c r="O506" i="4" s="1"/>
  <c r="O507" i="4" a="1"/>
  <c r="O507" i="4"/>
  <c r="O508" i="4" a="1"/>
  <c r="O508" i="4" s="1"/>
  <c r="O509" i="4" a="1"/>
  <c r="O509" i="4"/>
  <c r="O510" i="4" a="1"/>
  <c r="O510" i="4" s="1"/>
  <c r="O511" i="4" a="1"/>
  <c r="O511" i="4"/>
  <c r="O512" i="4" a="1"/>
  <c r="O512" i="4" s="1"/>
  <c r="O513" i="4" a="1"/>
  <c r="O513" i="4"/>
  <c r="O514" i="4" a="1"/>
  <c r="O514" i="4" s="1"/>
  <c r="O515" i="4" a="1"/>
  <c r="O515" i="4"/>
  <c r="O516" i="4" a="1"/>
  <c r="O516" i="4" s="1"/>
  <c r="O517" i="4" a="1"/>
  <c r="O517" i="4"/>
  <c r="O518" i="4" a="1"/>
  <c r="O518" i="4" s="1"/>
  <c r="O519" i="4" a="1"/>
  <c r="O519" i="4"/>
  <c r="O520" i="4" a="1"/>
  <c r="O520" i="4" s="1"/>
  <c r="O521" i="4" a="1"/>
  <c r="O521" i="4"/>
  <c r="O522" i="4" a="1"/>
  <c r="O522" i="4" s="1"/>
  <c r="O523" i="4" a="1"/>
  <c r="O523" i="4"/>
  <c r="O524" i="4" a="1"/>
  <c r="O524" i="4" s="1"/>
  <c r="O525" i="4" a="1"/>
  <c r="O525" i="4"/>
  <c r="O526" i="4" a="1"/>
  <c r="O526" i="4" s="1"/>
  <c r="O527" i="4" a="1"/>
  <c r="O527" i="4"/>
  <c r="O528" i="4" a="1"/>
  <c r="O528" i="4" s="1"/>
  <c r="O529" i="4" a="1"/>
  <c r="O529" i="4"/>
  <c r="O530" i="4" a="1"/>
  <c r="O530" i="4" s="1"/>
  <c r="O531" i="4" a="1"/>
  <c r="O531" i="4"/>
  <c r="O532" i="4" a="1"/>
  <c r="O532" i="4" s="1"/>
  <c r="O533" i="4" a="1"/>
  <c r="O533" i="4"/>
  <c r="O534" i="4" a="1"/>
  <c r="O534" i="4" s="1"/>
  <c r="O535" i="4" a="1"/>
  <c r="O535" i="4"/>
  <c r="O536" i="4" a="1"/>
  <c r="O536" i="4" s="1"/>
  <c r="O537" i="4" a="1"/>
  <c r="O537" i="4"/>
  <c r="O538" i="4" a="1"/>
  <c r="O538" i="4" s="1"/>
  <c r="O539" i="4" a="1"/>
  <c r="O539" i="4"/>
  <c r="O540" i="4" a="1"/>
  <c r="O540" i="4" s="1"/>
  <c r="O541" i="4" a="1"/>
  <c r="O541" i="4"/>
  <c r="O542" i="4" a="1"/>
  <c r="O542" i="4" s="1"/>
  <c r="O543" i="4" a="1"/>
  <c r="O543" i="4"/>
  <c r="O544" i="4" a="1"/>
  <c r="O544" i="4" s="1"/>
  <c r="O545" i="4" a="1"/>
  <c r="O545" i="4"/>
  <c r="O546" i="4" a="1"/>
  <c r="O546" i="4" s="1"/>
  <c r="O547" i="4" a="1"/>
  <c r="O547" i="4"/>
  <c r="O548" i="4" a="1"/>
  <c r="O548" i="4" s="1"/>
  <c r="O549" i="4" a="1"/>
  <c r="O549" i="4"/>
  <c r="O550" i="4" a="1"/>
  <c r="O550" i="4" s="1"/>
  <c r="O551" i="4" a="1"/>
  <c r="O551" i="4"/>
  <c r="O552" i="4" a="1"/>
  <c r="O552" i="4" s="1"/>
  <c r="O553" i="4" a="1"/>
  <c r="O553" i="4"/>
  <c r="O554" i="4" a="1"/>
  <c r="O554" i="4" s="1"/>
  <c r="O555" i="4" a="1"/>
  <c r="O555" i="4"/>
  <c r="O556" i="4" a="1"/>
  <c r="O556" i="4" s="1"/>
  <c r="O557" i="4" a="1"/>
  <c r="O557" i="4"/>
  <c r="O558" i="4" a="1"/>
  <c r="O558" i="4" s="1"/>
  <c r="O559" i="4" a="1"/>
  <c r="O559" i="4"/>
  <c r="O560" i="4" a="1"/>
  <c r="O560" i="4" s="1"/>
  <c r="O561" i="4" a="1"/>
  <c r="O561" i="4"/>
  <c r="O562" i="4" a="1"/>
  <c r="O562" i="4" s="1"/>
  <c r="O563" i="4" a="1"/>
  <c r="O563" i="4"/>
  <c r="O564" i="4" a="1"/>
  <c r="O564" i="4" s="1"/>
  <c r="O565" i="4" a="1"/>
  <c r="O565" i="4"/>
  <c r="O566" i="4" a="1"/>
  <c r="O566" i="4" s="1"/>
  <c r="O567" i="4" a="1"/>
  <c r="O567" i="4"/>
  <c r="O568" i="4" a="1"/>
  <c r="O568" i="4" s="1"/>
  <c r="O569" i="4" a="1"/>
  <c r="O569" i="4"/>
  <c r="O570" i="4" a="1"/>
  <c r="O570" i="4" s="1"/>
  <c r="O571" i="4" a="1"/>
  <c r="O571" i="4"/>
  <c r="O572" i="4" a="1"/>
  <c r="O572" i="4" s="1"/>
  <c r="O573" i="4" a="1"/>
  <c r="O573" i="4"/>
  <c r="O574" i="4" a="1"/>
  <c r="O574" i="4" s="1"/>
  <c r="O575" i="4" a="1"/>
  <c r="O575" i="4"/>
  <c r="O576" i="4" a="1"/>
  <c r="O576" i="4" s="1"/>
  <c r="O577" i="4" a="1"/>
  <c r="O577" i="4"/>
  <c r="O2" i="4" a="1"/>
  <c r="O2" i="4"/>
  <c r="M3" i="4"/>
  <c r="Q3" i="4" s="1"/>
  <c r="M4" i="4"/>
  <c r="Q4" i="4" s="1"/>
  <c r="M5" i="4"/>
  <c r="Q5" i="4" s="1"/>
  <c r="M6" i="4"/>
  <c r="Q6" i="4" s="1"/>
  <c r="M7" i="4"/>
  <c r="Q7" i="4" s="1"/>
  <c r="M8" i="4"/>
  <c r="Q8" i="4" s="1"/>
  <c r="M9" i="4"/>
  <c r="Q9" i="4" s="1"/>
  <c r="M10" i="4"/>
  <c r="Q10" i="4" s="1"/>
  <c r="M11" i="4"/>
  <c r="Q11" i="4" s="1"/>
  <c r="M12" i="4"/>
  <c r="Q12" i="4" s="1"/>
  <c r="M13" i="4"/>
  <c r="Q13" i="4" s="1"/>
  <c r="M14" i="4"/>
  <c r="Q14" i="4" s="1"/>
  <c r="M15" i="4"/>
  <c r="Q15" i="4" s="1"/>
  <c r="M16" i="4"/>
  <c r="Q16" i="4" s="1"/>
  <c r="M17" i="4"/>
  <c r="Q17" i="4" s="1"/>
  <c r="M18" i="4"/>
  <c r="Q18" i="4" s="1"/>
  <c r="M19" i="4"/>
  <c r="Q19" i="4" s="1"/>
  <c r="M20" i="4"/>
  <c r="Q20" i="4" s="1"/>
  <c r="M21" i="4"/>
  <c r="Q21" i="4" s="1"/>
  <c r="M22" i="4"/>
  <c r="Q22" i="4" s="1"/>
  <c r="M23" i="4"/>
  <c r="Q23" i="4" s="1"/>
  <c r="M24" i="4"/>
  <c r="Q24" i="4" s="1"/>
  <c r="M25" i="4"/>
  <c r="Q25" i="4" s="1"/>
  <c r="M26" i="4"/>
  <c r="Q26" i="4" s="1"/>
  <c r="M27" i="4"/>
  <c r="Q27" i="4" s="1"/>
  <c r="M28" i="4"/>
  <c r="Q28" i="4" s="1"/>
  <c r="M29" i="4"/>
  <c r="Q29" i="4" s="1"/>
  <c r="M30" i="4"/>
  <c r="Q30" i="4" s="1"/>
  <c r="M31" i="4"/>
  <c r="Q31" i="4" s="1"/>
  <c r="M32" i="4"/>
  <c r="Q32" i="4" s="1"/>
  <c r="M33" i="4"/>
  <c r="Q33" i="4" s="1"/>
  <c r="M34" i="4"/>
  <c r="Q34" i="4" s="1"/>
  <c r="M35" i="4"/>
  <c r="Q35" i="4" s="1"/>
  <c r="M36" i="4"/>
  <c r="Q36" i="4" s="1"/>
  <c r="M37" i="4"/>
  <c r="Q37" i="4" s="1"/>
  <c r="M38" i="4"/>
  <c r="Q38" i="4" s="1"/>
  <c r="M39" i="4"/>
  <c r="Q39" i="4" s="1"/>
  <c r="M40" i="4"/>
  <c r="Q40" i="4" s="1"/>
  <c r="M41" i="4"/>
  <c r="Q41" i="4" s="1"/>
  <c r="M42" i="4"/>
  <c r="Q42" i="4" s="1"/>
  <c r="M43" i="4"/>
  <c r="Q43" i="4" s="1"/>
  <c r="M44" i="4"/>
  <c r="Q44" i="4" s="1"/>
  <c r="M45" i="4"/>
  <c r="Q45" i="4" s="1"/>
  <c r="M46" i="4"/>
  <c r="Q46" i="4" s="1"/>
  <c r="M47" i="4"/>
  <c r="Q47" i="4" s="1"/>
  <c r="M48" i="4"/>
  <c r="Q48" i="4" s="1"/>
  <c r="M49" i="4"/>
  <c r="Q49" i="4" s="1"/>
  <c r="M50" i="4"/>
  <c r="Q50" i="4" s="1"/>
  <c r="M51" i="4"/>
  <c r="Q51" i="4" s="1"/>
  <c r="M52" i="4"/>
  <c r="Q52" i="4" s="1"/>
  <c r="M53" i="4"/>
  <c r="Q53" i="4" s="1"/>
  <c r="M54" i="4"/>
  <c r="Q54" i="4" s="1"/>
  <c r="M55" i="4"/>
  <c r="Q55" i="4" s="1"/>
  <c r="M56" i="4"/>
  <c r="Q56" i="4" s="1"/>
  <c r="M57" i="4"/>
  <c r="Q57" i="4" s="1"/>
  <c r="M58" i="4"/>
  <c r="Q58" i="4" s="1"/>
  <c r="M59" i="4"/>
  <c r="Q59" i="4" s="1"/>
  <c r="M60" i="4"/>
  <c r="Q60" i="4" s="1"/>
  <c r="M61" i="4"/>
  <c r="Q61" i="4" s="1"/>
  <c r="M62" i="4"/>
  <c r="Q62" i="4" s="1"/>
  <c r="M63" i="4"/>
  <c r="Q63" i="4" s="1"/>
  <c r="M64" i="4"/>
  <c r="Q64" i="4" s="1"/>
  <c r="M65" i="4"/>
  <c r="Q65" i="4" s="1"/>
  <c r="M66" i="4"/>
  <c r="Q66" i="4" s="1"/>
  <c r="M67" i="4"/>
  <c r="Q67" i="4" s="1"/>
  <c r="M68" i="4"/>
  <c r="Q68" i="4" s="1"/>
  <c r="M69" i="4"/>
  <c r="Q69" i="4" s="1"/>
  <c r="M70" i="4"/>
  <c r="Q70" i="4" s="1"/>
  <c r="M71" i="4"/>
  <c r="Q71" i="4" s="1"/>
  <c r="M72" i="4"/>
  <c r="Q72" i="4" s="1"/>
  <c r="M73" i="4"/>
  <c r="Q73" i="4" s="1"/>
  <c r="M74" i="4"/>
  <c r="Q74" i="4" s="1"/>
  <c r="M75" i="4"/>
  <c r="Q75" i="4" s="1"/>
  <c r="M76" i="4"/>
  <c r="Q76" i="4" s="1"/>
  <c r="M77" i="4"/>
  <c r="Q77" i="4" s="1"/>
  <c r="M78" i="4"/>
  <c r="Q78" i="4" s="1"/>
  <c r="M79" i="4"/>
  <c r="Q79" i="4" s="1"/>
  <c r="M80" i="4"/>
  <c r="Q80" i="4" s="1"/>
  <c r="M81" i="4"/>
  <c r="Q81" i="4" s="1"/>
  <c r="M82" i="4"/>
  <c r="Q82" i="4" s="1"/>
  <c r="M83" i="4"/>
  <c r="Q83" i="4" s="1"/>
  <c r="M84" i="4"/>
  <c r="Q84" i="4" s="1"/>
  <c r="M85" i="4"/>
  <c r="Q85" i="4" s="1"/>
  <c r="M86" i="4"/>
  <c r="Q86" i="4" s="1"/>
  <c r="M87" i="4"/>
  <c r="Q87" i="4" s="1"/>
  <c r="M88" i="4"/>
  <c r="Q88" i="4" s="1"/>
  <c r="M89" i="4"/>
  <c r="Q89" i="4" s="1"/>
  <c r="M90" i="4"/>
  <c r="Q90" i="4" s="1"/>
  <c r="M91" i="4"/>
  <c r="Q91" i="4" s="1"/>
  <c r="M92" i="4"/>
  <c r="Q92" i="4" s="1"/>
  <c r="M93" i="4"/>
  <c r="Q93" i="4" s="1"/>
  <c r="M94" i="4"/>
  <c r="Q94" i="4" s="1"/>
  <c r="M95" i="4"/>
  <c r="Q95" i="4" s="1"/>
  <c r="M96" i="4"/>
  <c r="Q96" i="4" s="1"/>
  <c r="M97" i="4"/>
  <c r="Q97" i="4" s="1"/>
  <c r="M98" i="4"/>
  <c r="Q98" i="4" s="1"/>
  <c r="M99" i="4"/>
  <c r="Q99" i="4" s="1"/>
  <c r="M100" i="4"/>
  <c r="Q100" i="4" s="1"/>
  <c r="M101" i="4"/>
  <c r="Q101" i="4" s="1"/>
  <c r="M102" i="4"/>
  <c r="Q102" i="4" s="1"/>
  <c r="M103" i="4"/>
  <c r="Q103" i="4" s="1"/>
  <c r="M104" i="4"/>
  <c r="Q104" i="4" s="1"/>
  <c r="M105" i="4"/>
  <c r="Q105" i="4" s="1"/>
  <c r="M106" i="4"/>
  <c r="Q106" i="4" s="1"/>
  <c r="M107" i="4"/>
  <c r="Q107" i="4" s="1"/>
  <c r="M108" i="4"/>
  <c r="Q108" i="4" s="1"/>
  <c r="M109" i="4"/>
  <c r="Q109" i="4" s="1"/>
  <c r="M110" i="4"/>
  <c r="Q110" i="4" s="1"/>
  <c r="M111" i="4"/>
  <c r="Q111" i="4" s="1"/>
  <c r="M112" i="4"/>
  <c r="Q112" i="4" s="1"/>
  <c r="M113" i="4"/>
  <c r="Q113" i="4" s="1"/>
  <c r="M114" i="4"/>
  <c r="Q114" i="4" s="1"/>
  <c r="M115" i="4"/>
  <c r="Q115" i="4" s="1"/>
  <c r="M116" i="4"/>
  <c r="Q116" i="4" s="1"/>
  <c r="M117" i="4"/>
  <c r="Q117" i="4" s="1"/>
  <c r="M118" i="4"/>
  <c r="Q118" i="4" s="1"/>
  <c r="M119" i="4"/>
  <c r="Q119" i="4" s="1"/>
  <c r="M120" i="4"/>
  <c r="Q120" i="4" s="1"/>
  <c r="M121" i="4"/>
  <c r="Q121" i="4" s="1"/>
  <c r="M122" i="4"/>
  <c r="Q122" i="4" s="1"/>
  <c r="M123" i="4"/>
  <c r="Q123" i="4" s="1"/>
  <c r="M124" i="4"/>
  <c r="Q124" i="4" s="1"/>
  <c r="M125" i="4"/>
  <c r="Q125" i="4" s="1"/>
  <c r="M126" i="4"/>
  <c r="Q126" i="4" s="1"/>
  <c r="M127" i="4"/>
  <c r="Q127" i="4" s="1"/>
  <c r="M128" i="4"/>
  <c r="Q128" i="4" s="1"/>
  <c r="M129" i="4"/>
  <c r="Q129" i="4" s="1"/>
  <c r="M130" i="4"/>
  <c r="Q130" i="4" s="1"/>
  <c r="M131" i="4"/>
  <c r="Q131" i="4" s="1"/>
  <c r="M132" i="4"/>
  <c r="Q132" i="4" s="1"/>
  <c r="M133" i="4"/>
  <c r="Q133" i="4" s="1"/>
  <c r="M134" i="4"/>
  <c r="Q134" i="4" s="1"/>
  <c r="M135" i="4"/>
  <c r="Q135" i="4" s="1"/>
  <c r="M136" i="4"/>
  <c r="Q136" i="4" s="1"/>
  <c r="M137" i="4"/>
  <c r="Q137" i="4" s="1"/>
  <c r="M138" i="4"/>
  <c r="Q138" i="4" s="1"/>
  <c r="M139" i="4"/>
  <c r="Q139" i="4" s="1"/>
  <c r="M140" i="4"/>
  <c r="Q140" i="4" s="1"/>
  <c r="M141" i="4"/>
  <c r="Q141" i="4" s="1"/>
  <c r="M142" i="4"/>
  <c r="Q142" i="4" s="1"/>
  <c r="M143" i="4"/>
  <c r="Q143" i="4" s="1"/>
  <c r="M144" i="4"/>
  <c r="Q144" i="4" s="1"/>
  <c r="M145" i="4"/>
  <c r="Q145" i="4" s="1"/>
  <c r="M146" i="4"/>
  <c r="Q146" i="4" s="1"/>
  <c r="M147" i="4"/>
  <c r="Q147" i="4" s="1"/>
  <c r="M148" i="4"/>
  <c r="Q148" i="4" s="1"/>
  <c r="M149" i="4"/>
  <c r="Q149" i="4" s="1"/>
  <c r="M150" i="4"/>
  <c r="Q150" i="4" s="1"/>
  <c r="M151" i="4"/>
  <c r="Q151" i="4" s="1"/>
  <c r="M152" i="4"/>
  <c r="Q152" i="4" s="1"/>
  <c r="M153" i="4"/>
  <c r="Q153" i="4" s="1"/>
  <c r="M154" i="4"/>
  <c r="Q154" i="4" s="1"/>
  <c r="M155" i="4"/>
  <c r="Q155" i="4" s="1"/>
  <c r="M156" i="4"/>
  <c r="Q156" i="4" s="1"/>
  <c r="M157" i="4"/>
  <c r="Q157" i="4" s="1"/>
  <c r="M158" i="4"/>
  <c r="Q158" i="4" s="1"/>
  <c r="M159" i="4"/>
  <c r="Q159" i="4" s="1"/>
  <c r="M160" i="4"/>
  <c r="Q160" i="4" s="1"/>
  <c r="M161" i="4"/>
  <c r="Q161" i="4" s="1"/>
  <c r="M162" i="4"/>
  <c r="Q162" i="4" s="1"/>
  <c r="M163" i="4"/>
  <c r="Q163" i="4" s="1"/>
  <c r="M164" i="4"/>
  <c r="Q164" i="4" s="1"/>
  <c r="M165" i="4"/>
  <c r="Q165" i="4" s="1"/>
  <c r="M166" i="4"/>
  <c r="Q166" i="4" s="1"/>
  <c r="M167" i="4"/>
  <c r="Q167" i="4" s="1"/>
  <c r="M168" i="4"/>
  <c r="Q168" i="4" s="1"/>
  <c r="M169" i="4"/>
  <c r="Q169" i="4" s="1"/>
  <c r="M170" i="4"/>
  <c r="Q170" i="4" s="1"/>
  <c r="M171" i="4"/>
  <c r="Q171" i="4" s="1"/>
  <c r="M172" i="4"/>
  <c r="Q172" i="4" s="1"/>
  <c r="M173" i="4"/>
  <c r="Q173" i="4" s="1"/>
  <c r="M174" i="4"/>
  <c r="Q174" i="4" s="1"/>
  <c r="M175" i="4"/>
  <c r="Q175" i="4" s="1"/>
  <c r="M176" i="4"/>
  <c r="Q176" i="4" s="1"/>
  <c r="M177" i="4"/>
  <c r="Q177" i="4" s="1"/>
  <c r="M178" i="4"/>
  <c r="Q178" i="4" s="1"/>
  <c r="M179" i="4"/>
  <c r="Q179" i="4" s="1"/>
  <c r="M180" i="4"/>
  <c r="Q180" i="4" s="1"/>
  <c r="M181" i="4"/>
  <c r="Q181" i="4" s="1"/>
  <c r="M182" i="4"/>
  <c r="Q182" i="4" s="1"/>
  <c r="M183" i="4"/>
  <c r="Q183" i="4" s="1"/>
  <c r="M184" i="4"/>
  <c r="Q184" i="4" s="1"/>
  <c r="M185" i="4"/>
  <c r="Q185" i="4" s="1"/>
  <c r="M186" i="4"/>
  <c r="Q186" i="4" s="1"/>
  <c r="M187" i="4"/>
  <c r="Q187" i="4" s="1"/>
  <c r="M188" i="4"/>
  <c r="Q188" i="4" s="1"/>
  <c r="M189" i="4"/>
  <c r="Q189" i="4" s="1"/>
  <c r="M190" i="4"/>
  <c r="Q190" i="4" s="1"/>
  <c r="M191" i="4"/>
  <c r="Q191" i="4" s="1"/>
  <c r="M192" i="4"/>
  <c r="Q192" i="4" s="1"/>
  <c r="M193" i="4"/>
  <c r="Q193" i="4" s="1"/>
  <c r="M194" i="4"/>
  <c r="Q194" i="4" s="1"/>
  <c r="M195" i="4"/>
  <c r="Q195" i="4" s="1"/>
  <c r="M196" i="4"/>
  <c r="Q196" i="4" s="1"/>
  <c r="M197" i="4"/>
  <c r="Q197" i="4" s="1"/>
  <c r="M198" i="4"/>
  <c r="Q198" i="4" s="1"/>
  <c r="M199" i="4"/>
  <c r="Q199" i="4" s="1"/>
  <c r="M200" i="4"/>
  <c r="Q200" i="4" s="1"/>
  <c r="M201" i="4"/>
  <c r="Q201" i="4" s="1"/>
  <c r="M202" i="4"/>
  <c r="Q202" i="4" s="1"/>
  <c r="M203" i="4"/>
  <c r="Q203" i="4" s="1"/>
  <c r="M204" i="4"/>
  <c r="Q204" i="4" s="1"/>
  <c r="M205" i="4"/>
  <c r="Q205" i="4" s="1"/>
  <c r="M206" i="4"/>
  <c r="Q206" i="4" s="1"/>
  <c r="M207" i="4"/>
  <c r="Q207" i="4" s="1"/>
  <c r="M208" i="4"/>
  <c r="Q208" i="4" s="1"/>
  <c r="M209" i="4"/>
  <c r="Q209" i="4" s="1"/>
  <c r="M210" i="4"/>
  <c r="Q210" i="4" s="1"/>
  <c r="M211" i="4"/>
  <c r="Q211" i="4" s="1"/>
  <c r="M212" i="4"/>
  <c r="Q212" i="4" s="1"/>
  <c r="M213" i="4"/>
  <c r="Q213" i="4" s="1"/>
  <c r="M214" i="4"/>
  <c r="Q214" i="4" s="1"/>
  <c r="M215" i="4"/>
  <c r="Q215" i="4" s="1"/>
  <c r="M216" i="4"/>
  <c r="Q216" i="4" s="1"/>
  <c r="M217" i="4"/>
  <c r="Q217" i="4" s="1"/>
  <c r="M218" i="4"/>
  <c r="Q218" i="4" s="1"/>
  <c r="M219" i="4"/>
  <c r="Q219" i="4" s="1"/>
  <c r="M220" i="4"/>
  <c r="Q220" i="4" s="1"/>
  <c r="M221" i="4"/>
  <c r="Q221" i="4" s="1"/>
  <c r="M222" i="4"/>
  <c r="Q222" i="4" s="1"/>
  <c r="M223" i="4"/>
  <c r="Q223" i="4" s="1"/>
  <c r="M224" i="4"/>
  <c r="Q224" i="4" s="1"/>
  <c r="M225" i="4"/>
  <c r="Q225" i="4" s="1"/>
  <c r="M226" i="4"/>
  <c r="Q226" i="4" s="1"/>
  <c r="M227" i="4"/>
  <c r="Q227" i="4" s="1"/>
  <c r="M228" i="4"/>
  <c r="Q228" i="4" s="1"/>
  <c r="M229" i="4"/>
  <c r="Q229" i="4" s="1"/>
  <c r="M230" i="4"/>
  <c r="Q230" i="4" s="1"/>
  <c r="M231" i="4"/>
  <c r="Q231" i="4" s="1"/>
  <c r="M232" i="4"/>
  <c r="Q232" i="4" s="1"/>
  <c r="M233" i="4"/>
  <c r="Q233" i="4" s="1"/>
  <c r="M234" i="4"/>
  <c r="Q234" i="4" s="1"/>
  <c r="M235" i="4"/>
  <c r="Q235" i="4" s="1"/>
  <c r="M236" i="4"/>
  <c r="Q236" i="4" s="1"/>
  <c r="M237" i="4"/>
  <c r="Q237" i="4" s="1"/>
  <c r="M238" i="4"/>
  <c r="Q238" i="4" s="1"/>
  <c r="M239" i="4"/>
  <c r="Q239" i="4" s="1"/>
  <c r="M240" i="4"/>
  <c r="Q240" i="4" s="1"/>
  <c r="M241" i="4"/>
  <c r="Q241" i="4" s="1"/>
  <c r="M242" i="4"/>
  <c r="Q242" i="4" s="1"/>
  <c r="M243" i="4"/>
  <c r="Q243" i="4" s="1"/>
  <c r="M244" i="4"/>
  <c r="Q244" i="4" s="1"/>
  <c r="M245" i="4"/>
  <c r="Q245" i="4" s="1"/>
  <c r="M246" i="4"/>
  <c r="Q246" i="4" s="1"/>
  <c r="M247" i="4"/>
  <c r="Q247" i="4" s="1"/>
  <c r="M248" i="4"/>
  <c r="Q248" i="4" s="1"/>
  <c r="M249" i="4"/>
  <c r="Q249" i="4" s="1"/>
  <c r="M250" i="4"/>
  <c r="Q250" i="4" s="1"/>
  <c r="M251" i="4"/>
  <c r="Q251" i="4" s="1"/>
  <c r="M252" i="4"/>
  <c r="Q252" i="4" s="1"/>
  <c r="M253" i="4"/>
  <c r="Q253" i="4" s="1"/>
  <c r="M254" i="4"/>
  <c r="Q254" i="4" s="1"/>
  <c r="M255" i="4"/>
  <c r="Q255" i="4" s="1"/>
  <c r="M256" i="4"/>
  <c r="Q256" i="4" s="1"/>
  <c r="M257" i="4"/>
  <c r="Q257" i="4" s="1"/>
  <c r="M258" i="4"/>
  <c r="Q258" i="4" s="1"/>
  <c r="M259" i="4"/>
  <c r="Q259" i="4" s="1"/>
  <c r="M260" i="4"/>
  <c r="Q260" i="4" s="1"/>
  <c r="M261" i="4"/>
  <c r="Q261" i="4" s="1"/>
  <c r="M262" i="4"/>
  <c r="Q262" i="4" s="1"/>
  <c r="M263" i="4"/>
  <c r="Q263" i="4" s="1"/>
  <c r="M264" i="4"/>
  <c r="Q264" i="4" s="1"/>
  <c r="M265" i="4"/>
  <c r="Q265" i="4" s="1"/>
  <c r="M266" i="4"/>
  <c r="Q266" i="4" s="1"/>
  <c r="M267" i="4"/>
  <c r="Q267" i="4" s="1"/>
  <c r="M268" i="4"/>
  <c r="Q268" i="4" s="1"/>
  <c r="M269" i="4"/>
  <c r="Q269" i="4" s="1"/>
  <c r="M270" i="4"/>
  <c r="Q270" i="4" s="1"/>
  <c r="M271" i="4"/>
  <c r="Q271" i="4" s="1"/>
  <c r="M272" i="4"/>
  <c r="Q272" i="4" s="1"/>
  <c r="M273" i="4"/>
  <c r="Q273" i="4" s="1"/>
  <c r="M274" i="4"/>
  <c r="Q274" i="4" s="1"/>
  <c r="M275" i="4"/>
  <c r="Q275" i="4" s="1"/>
  <c r="M276" i="4"/>
  <c r="Q276" i="4" s="1"/>
  <c r="M277" i="4"/>
  <c r="Q277" i="4" s="1"/>
  <c r="M278" i="4"/>
  <c r="Q278" i="4" s="1"/>
  <c r="M279" i="4"/>
  <c r="Q279" i="4" s="1"/>
  <c r="M280" i="4"/>
  <c r="Q280" i="4" s="1"/>
  <c r="M281" i="4"/>
  <c r="Q281" i="4" s="1"/>
  <c r="M282" i="4"/>
  <c r="Q282" i="4" s="1"/>
  <c r="M283" i="4"/>
  <c r="Q283" i="4" s="1"/>
  <c r="M284" i="4"/>
  <c r="Q284" i="4" s="1"/>
  <c r="M285" i="4"/>
  <c r="Q285" i="4" s="1"/>
  <c r="M286" i="4"/>
  <c r="Q286" i="4" s="1"/>
  <c r="M287" i="4"/>
  <c r="Q287" i="4" s="1"/>
  <c r="M288" i="4"/>
  <c r="Q288" i="4" s="1"/>
  <c r="M289" i="4"/>
  <c r="Q289" i="4" s="1"/>
  <c r="M290" i="4"/>
  <c r="Q290" i="4" s="1"/>
  <c r="M291" i="4"/>
  <c r="Q291" i="4" s="1"/>
  <c r="M292" i="4"/>
  <c r="Q292" i="4" s="1"/>
  <c r="M293" i="4"/>
  <c r="Q293" i="4" s="1"/>
  <c r="M294" i="4"/>
  <c r="Q294" i="4" s="1"/>
  <c r="M295" i="4"/>
  <c r="Q295" i="4" s="1"/>
  <c r="M296" i="4"/>
  <c r="Q296" i="4" s="1"/>
  <c r="M297" i="4"/>
  <c r="Q297" i="4" s="1"/>
  <c r="M298" i="4"/>
  <c r="Q298" i="4" s="1"/>
  <c r="M299" i="4"/>
  <c r="Q299" i="4" s="1"/>
  <c r="M300" i="4"/>
  <c r="Q300" i="4" s="1"/>
  <c r="M301" i="4"/>
  <c r="Q301" i="4" s="1"/>
  <c r="M302" i="4"/>
  <c r="Q302" i="4" s="1"/>
  <c r="M303" i="4"/>
  <c r="Q303" i="4" s="1"/>
  <c r="M304" i="4"/>
  <c r="Q304" i="4" s="1"/>
  <c r="M305" i="4"/>
  <c r="Q305" i="4" s="1"/>
  <c r="M306" i="4"/>
  <c r="Q306" i="4" s="1"/>
  <c r="M307" i="4"/>
  <c r="Q307" i="4" s="1"/>
  <c r="M308" i="4"/>
  <c r="Q308" i="4" s="1"/>
  <c r="M309" i="4"/>
  <c r="Q309" i="4" s="1"/>
  <c r="M310" i="4"/>
  <c r="Q310" i="4" s="1"/>
  <c r="M311" i="4"/>
  <c r="Q311" i="4" s="1"/>
  <c r="M312" i="4"/>
  <c r="Q312" i="4" s="1"/>
  <c r="M313" i="4"/>
  <c r="Q313" i="4" s="1"/>
  <c r="M314" i="4"/>
  <c r="Q314" i="4" s="1"/>
  <c r="M315" i="4"/>
  <c r="Q315" i="4" s="1"/>
  <c r="M316" i="4"/>
  <c r="Q316" i="4" s="1"/>
  <c r="M317" i="4"/>
  <c r="Q317" i="4" s="1"/>
  <c r="M318" i="4"/>
  <c r="Q318" i="4" s="1"/>
  <c r="M319" i="4"/>
  <c r="Q319" i="4" s="1"/>
  <c r="M320" i="4"/>
  <c r="Q320" i="4" s="1"/>
  <c r="M321" i="4"/>
  <c r="Q321" i="4" s="1"/>
  <c r="M322" i="4"/>
  <c r="Q322" i="4" s="1"/>
  <c r="M323" i="4"/>
  <c r="Q323" i="4" s="1"/>
  <c r="M324" i="4"/>
  <c r="Q324" i="4" s="1"/>
  <c r="M325" i="4"/>
  <c r="Q325" i="4" s="1"/>
  <c r="M326" i="4"/>
  <c r="Q326" i="4" s="1"/>
  <c r="M327" i="4"/>
  <c r="Q327" i="4" s="1"/>
  <c r="M328" i="4"/>
  <c r="Q328" i="4" s="1"/>
  <c r="M329" i="4"/>
  <c r="Q329" i="4" s="1"/>
  <c r="M330" i="4"/>
  <c r="Q330" i="4" s="1"/>
  <c r="M331" i="4"/>
  <c r="Q331" i="4" s="1"/>
  <c r="M332" i="4"/>
  <c r="Q332" i="4" s="1"/>
  <c r="M333" i="4"/>
  <c r="Q333" i="4" s="1"/>
  <c r="M334" i="4"/>
  <c r="Q334" i="4" s="1"/>
  <c r="M335" i="4"/>
  <c r="Q335" i="4" s="1"/>
  <c r="M336" i="4"/>
  <c r="Q336" i="4" s="1"/>
  <c r="M337" i="4"/>
  <c r="Q337" i="4" s="1"/>
  <c r="M338" i="4"/>
  <c r="Q338" i="4" s="1"/>
  <c r="M339" i="4"/>
  <c r="Q339" i="4" s="1"/>
  <c r="M340" i="4"/>
  <c r="Q340" i="4" s="1"/>
  <c r="M341" i="4"/>
  <c r="Q341" i="4" s="1"/>
  <c r="M342" i="4"/>
  <c r="Q342" i="4" s="1"/>
  <c r="M343" i="4"/>
  <c r="Q343" i="4" s="1"/>
  <c r="M344" i="4"/>
  <c r="Q344" i="4" s="1"/>
  <c r="M345" i="4"/>
  <c r="Q345" i="4" s="1"/>
  <c r="M346" i="4"/>
  <c r="Q346" i="4" s="1"/>
  <c r="M347" i="4"/>
  <c r="Q347" i="4" s="1"/>
  <c r="M348" i="4"/>
  <c r="Q348" i="4" s="1"/>
  <c r="M349" i="4"/>
  <c r="Q349" i="4" s="1"/>
  <c r="M350" i="4"/>
  <c r="Q350" i="4" s="1"/>
  <c r="M351" i="4"/>
  <c r="Q351" i="4" s="1"/>
  <c r="M352" i="4"/>
  <c r="Q352" i="4" s="1"/>
  <c r="M353" i="4"/>
  <c r="Q353" i="4" s="1"/>
  <c r="M354" i="4"/>
  <c r="Q354" i="4" s="1"/>
  <c r="M355" i="4"/>
  <c r="Q355" i="4" s="1"/>
  <c r="M356" i="4"/>
  <c r="Q356" i="4" s="1"/>
  <c r="M357" i="4"/>
  <c r="Q357" i="4" s="1"/>
  <c r="M358" i="4"/>
  <c r="Q358" i="4" s="1"/>
  <c r="M359" i="4"/>
  <c r="Q359" i="4" s="1"/>
  <c r="M360" i="4"/>
  <c r="Q360" i="4" s="1"/>
  <c r="M361" i="4"/>
  <c r="Q361" i="4" s="1"/>
  <c r="M362" i="4"/>
  <c r="Q362" i="4" s="1"/>
  <c r="M363" i="4"/>
  <c r="Q363" i="4" s="1"/>
  <c r="M364" i="4"/>
  <c r="Q364" i="4" s="1"/>
  <c r="M365" i="4"/>
  <c r="Q365" i="4" s="1"/>
  <c r="M366" i="4"/>
  <c r="Q366" i="4" s="1"/>
  <c r="M367" i="4"/>
  <c r="Q367" i="4" s="1"/>
  <c r="M368" i="4"/>
  <c r="Q368" i="4" s="1"/>
  <c r="M369" i="4"/>
  <c r="Q369" i="4" s="1"/>
  <c r="M370" i="4"/>
  <c r="Q370" i="4" s="1"/>
  <c r="M371" i="4"/>
  <c r="Q371" i="4" s="1"/>
  <c r="M372" i="4"/>
  <c r="Q372" i="4" s="1"/>
  <c r="M373" i="4"/>
  <c r="Q373" i="4" s="1"/>
  <c r="M374" i="4"/>
  <c r="Q374" i="4" s="1"/>
  <c r="M375" i="4"/>
  <c r="Q375" i="4" s="1"/>
  <c r="M376" i="4"/>
  <c r="Q376" i="4" s="1"/>
  <c r="M377" i="4"/>
  <c r="Q377" i="4" s="1"/>
  <c r="M378" i="4"/>
  <c r="Q378" i="4" s="1"/>
  <c r="M379" i="4"/>
  <c r="Q379" i="4" s="1"/>
  <c r="M380" i="4"/>
  <c r="Q380" i="4" s="1"/>
  <c r="M381" i="4"/>
  <c r="Q381" i="4" s="1"/>
  <c r="M382" i="4"/>
  <c r="Q382" i="4" s="1"/>
  <c r="M383" i="4"/>
  <c r="Q383" i="4" s="1"/>
  <c r="M384" i="4"/>
  <c r="Q384" i="4" s="1"/>
  <c r="M385" i="4"/>
  <c r="Q385" i="4" s="1"/>
  <c r="M386" i="4"/>
  <c r="Q386" i="4" s="1"/>
  <c r="M387" i="4"/>
  <c r="Q387" i="4" s="1"/>
  <c r="M388" i="4"/>
  <c r="Q388" i="4" s="1"/>
  <c r="M389" i="4"/>
  <c r="Q389" i="4" s="1"/>
  <c r="M390" i="4"/>
  <c r="Q390" i="4" s="1"/>
  <c r="M391" i="4"/>
  <c r="Q391" i="4" s="1"/>
  <c r="M392" i="4"/>
  <c r="Q392" i="4" s="1"/>
  <c r="M393" i="4"/>
  <c r="Q393" i="4" s="1"/>
  <c r="M394" i="4"/>
  <c r="Q394" i="4" s="1"/>
  <c r="M395" i="4"/>
  <c r="Q395" i="4" s="1"/>
  <c r="M396" i="4"/>
  <c r="Q396" i="4" s="1"/>
  <c r="M397" i="4"/>
  <c r="Q397" i="4" s="1"/>
  <c r="M398" i="4"/>
  <c r="Q398" i="4" s="1"/>
  <c r="M399" i="4"/>
  <c r="Q399" i="4" s="1"/>
  <c r="M400" i="4"/>
  <c r="Q400" i="4" s="1"/>
  <c r="M401" i="4"/>
  <c r="Q401" i="4" s="1"/>
  <c r="M402" i="4"/>
  <c r="Q402" i="4" s="1"/>
  <c r="M403" i="4"/>
  <c r="Q403" i="4" s="1"/>
  <c r="M404" i="4"/>
  <c r="Q404" i="4" s="1"/>
  <c r="M405" i="4"/>
  <c r="Q405" i="4" s="1"/>
  <c r="M406" i="4"/>
  <c r="Q406" i="4" s="1"/>
  <c r="M407" i="4"/>
  <c r="Q407" i="4" s="1"/>
  <c r="M408" i="4"/>
  <c r="Q408" i="4" s="1"/>
  <c r="M409" i="4"/>
  <c r="Q409" i="4" s="1"/>
  <c r="M410" i="4"/>
  <c r="Q410" i="4" s="1"/>
  <c r="M411" i="4"/>
  <c r="Q411" i="4" s="1"/>
  <c r="M412" i="4"/>
  <c r="Q412" i="4" s="1"/>
  <c r="M413" i="4"/>
  <c r="Q413" i="4" s="1"/>
  <c r="M414" i="4"/>
  <c r="Q414" i="4" s="1"/>
  <c r="M415" i="4"/>
  <c r="Q415" i="4" s="1"/>
  <c r="M416" i="4"/>
  <c r="Q416" i="4" s="1"/>
  <c r="M417" i="4"/>
  <c r="Q417" i="4" s="1"/>
  <c r="M418" i="4"/>
  <c r="Q418" i="4" s="1"/>
  <c r="M419" i="4"/>
  <c r="Q419" i="4" s="1"/>
  <c r="M420" i="4"/>
  <c r="Q420" i="4" s="1"/>
  <c r="M421" i="4"/>
  <c r="Q421" i="4" s="1"/>
  <c r="M422" i="4"/>
  <c r="Q422" i="4" s="1"/>
  <c r="M423" i="4"/>
  <c r="Q423" i="4" s="1"/>
  <c r="M424" i="4"/>
  <c r="Q424" i="4" s="1"/>
  <c r="M425" i="4"/>
  <c r="Q425" i="4" s="1"/>
  <c r="M426" i="4"/>
  <c r="Q426" i="4" s="1"/>
  <c r="M427" i="4"/>
  <c r="Q427" i="4" s="1"/>
  <c r="M428" i="4"/>
  <c r="Q428" i="4" s="1"/>
  <c r="M429" i="4"/>
  <c r="Q429" i="4" s="1"/>
  <c r="M430" i="4"/>
  <c r="Q430" i="4" s="1"/>
  <c r="M431" i="4"/>
  <c r="Q431" i="4" s="1"/>
  <c r="M432" i="4"/>
  <c r="Q432" i="4" s="1"/>
  <c r="M433" i="4"/>
  <c r="Q433" i="4" s="1"/>
  <c r="M434" i="4"/>
  <c r="Q434" i="4" s="1"/>
  <c r="M435" i="4"/>
  <c r="Q435" i="4" s="1"/>
  <c r="M436" i="4"/>
  <c r="Q436" i="4" s="1"/>
  <c r="M437" i="4"/>
  <c r="Q437" i="4" s="1"/>
  <c r="M438" i="4"/>
  <c r="Q438" i="4" s="1"/>
  <c r="M439" i="4"/>
  <c r="Q439" i="4" s="1"/>
  <c r="M440" i="4"/>
  <c r="Q440" i="4" s="1"/>
  <c r="M441" i="4"/>
  <c r="Q441" i="4" s="1"/>
  <c r="M442" i="4"/>
  <c r="Q442" i="4" s="1"/>
  <c r="M443" i="4"/>
  <c r="Q443" i="4" s="1"/>
  <c r="M444" i="4"/>
  <c r="Q444" i="4" s="1"/>
  <c r="M445" i="4"/>
  <c r="Q445" i="4" s="1"/>
  <c r="M446" i="4"/>
  <c r="Q446" i="4" s="1"/>
  <c r="M447" i="4"/>
  <c r="Q447" i="4" s="1"/>
  <c r="M448" i="4"/>
  <c r="Q448" i="4" s="1"/>
  <c r="M449" i="4"/>
  <c r="Q449" i="4" s="1"/>
  <c r="M450" i="4"/>
  <c r="Q450" i="4" s="1"/>
  <c r="M451" i="4"/>
  <c r="Q451" i="4" s="1"/>
  <c r="M452" i="4"/>
  <c r="Q452" i="4" s="1"/>
  <c r="M453" i="4"/>
  <c r="Q453" i="4" s="1"/>
  <c r="M454" i="4"/>
  <c r="Q454" i="4" s="1"/>
  <c r="M455" i="4"/>
  <c r="Q455" i="4" s="1"/>
  <c r="M456" i="4"/>
  <c r="Q456" i="4" s="1"/>
  <c r="M457" i="4"/>
  <c r="Q457" i="4" s="1"/>
  <c r="M458" i="4"/>
  <c r="Q458" i="4" s="1"/>
  <c r="M459" i="4"/>
  <c r="Q459" i="4" s="1"/>
  <c r="M460" i="4"/>
  <c r="Q460" i="4" s="1"/>
  <c r="M461" i="4"/>
  <c r="Q461" i="4" s="1"/>
  <c r="M462" i="4"/>
  <c r="Q462" i="4" s="1"/>
  <c r="M463" i="4"/>
  <c r="Q463" i="4" s="1"/>
  <c r="M464" i="4"/>
  <c r="Q464" i="4" s="1"/>
  <c r="M465" i="4"/>
  <c r="Q465" i="4" s="1"/>
  <c r="M466" i="4"/>
  <c r="Q466" i="4" s="1"/>
  <c r="M467" i="4"/>
  <c r="Q467" i="4" s="1"/>
  <c r="M468" i="4"/>
  <c r="Q468" i="4" s="1"/>
  <c r="M469" i="4"/>
  <c r="Q469" i="4" s="1"/>
  <c r="M470" i="4"/>
  <c r="Q470" i="4" s="1"/>
  <c r="M471" i="4"/>
  <c r="Q471" i="4" s="1"/>
  <c r="M472" i="4"/>
  <c r="Q472" i="4" s="1"/>
  <c r="M473" i="4"/>
  <c r="Q473" i="4" s="1"/>
  <c r="M474" i="4"/>
  <c r="Q474" i="4" s="1"/>
  <c r="M475" i="4"/>
  <c r="Q475" i="4" s="1"/>
  <c r="M476" i="4"/>
  <c r="Q476" i="4" s="1"/>
  <c r="M477" i="4"/>
  <c r="Q477" i="4" s="1"/>
  <c r="M478" i="4"/>
  <c r="Q478" i="4" s="1"/>
  <c r="M479" i="4"/>
  <c r="Q479" i="4" s="1"/>
  <c r="M480" i="4"/>
  <c r="Q480" i="4" s="1"/>
  <c r="M481" i="4"/>
  <c r="Q481" i="4" s="1"/>
  <c r="M482" i="4"/>
  <c r="Q482" i="4" s="1"/>
  <c r="M483" i="4"/>
  <c r="Q483" i="4" s="1"/>
  <c r="M484" i="4"/>
  <c r="Q484" i="4" s="1"/>
  <c r="M485" i="4"/>
  <c r="Q485" i="4" s="1"/>
  <c r="M486" i="4"/>
  <c r="Q486" i="4" s="1"/>
  <c r="M487" i="4"/>
  <c r="Q487" i="4" s="1"/>
  <c r="M488" i="4"/>
  <c r="Q488" i="4" s="1"/>
  <c r="M489" i="4"/>
  <c r="Q489" i="4" s="1"/>
  <c r="M490" i="4"/>
  <c r="Q490" i="4" s="1"/>
  <c r="M491" i="4"/>
  <c r="Q491" i="4" s="1"/>
  <c r="M492" i="4"/>
  <c r="Q492" i="4" s="1"/>
  <c r="M493" i="4"/>
  <c r="Q493" i="4" s="1"/>
  <c r="M494" i="4"/>
  <c r="Q494" i="4" s="1"/>
  <c r="M495" i="4"/>
  <c r="Q495" i="4" s="1"/>
  <c r="M496" i="4"/>
  <c r="Q496" i="4" s="1"/>
  <c r="M497" i="4"/>
  <c r="Q497" i="4" s="1"/>
  <c r="M498" i="4"/>
  <c r="Q498" i="4" s="1"/>
  <c r="M499" i="4"/>
  <c r="Q499" i="4" s="1"/>
  <c r="M500" i="4"/>
  <c r="Q500" i="4" s="1"/>
  <c r="M501" i="4"/>
  <c r="Q501" i="4" s="1"/>
  <c r="M502" i="4"/>
  <c r="Q502" i="4" s="1"/>
  <c r="M503" i="4"/>
  <c r="Q503" i="4" s="1"/>
  <c r="M504" i="4"/>
  <c r="Q504" i="4" s="1"/>
  <c r="M505" i="4"/>
  <c r="Q505" i="4" s="1"/>
  <c r="M506" i="4"/>
  <c r="Q506" i="4" s="1"/>
  <c r="M507" i="4"/>
  <c r="Q507" i="4" s="1"/>
  <c r="M508" i="4"/>
  <c r="Q508" i="4" s="1"/>
  <c r="M509" i="4"/>
  <c r="Q509" i="4" s="1"/>
  <c r="M510" i="4"/>
  <c r="Q510" i="4" s="1"/>
  <c r="M511" i="4"/>
  <c r="Q511" i="4" s="1"/>
  <c r="M512" i="4"/>
  <c r="Q512" i="4" s="1"/>
  <c r="M513" i="4"/>
  <c r="Q513" i="4" s="1"/>
  <c r="M514" i="4"/>
  <c r="Q514" i="4" s="1"/>
  <c r="M515" i="4"/>
  <c r="Q515" i="4" s="1"/>
  <c r="M516" i="4"/>
  <c r="Q516" i="4" s="1"/>
  <c r="M517" i="4"/>
  <c r="Q517" i="4" s="1"/>
  <c r="M518" i="4"/>
  <c r="Q518" i="4" s="1"/>
  <c r="M519" i="4"/>
  <c r="Q519" i="4" s="1"/>
  <c r="M520" i="4"/>
  <c r="Q520" i="4" s="1"/>
  <c r="M521" i="4"/>
  <c r="Q521" i="4" s="1"/>
  <c r="M522" i="4"/>
  <c r="Q522" i="4" s="1"/>
  <c r="M523" i="4"/>
  <c r="Q523" i="4" s="1"/>
  <c r="M524" i="4"/>
  <c r="Q524" i="4" s="1"/>
  <c r="M525" i="4"/>
  <c r="Q525" i="4" s="1"/>
  <c r="M526" i="4"/>
  <c r="Q526" i="4" s="1"/>
  <c r="M527" i="4"/>
  <c r="Q527" i="4" s="1"/>
  <c r="M528" i="4"/>
  <c r="Q528" i="4" s="1"/>
  <c r="M529" i="4"/>
  <c r="Q529" i="4" s="1"/>
  <c r="M530" i="4"/>
  <c r="Q530" i="4" s="1"/>
  <c r="M531" i="4"/>
  <c r="Q531" i="4" s="1"/>
  <c r="M532" i="4"/>
  <c r="Q532" i="4" s="1"/>
  <c r="M533" i="4"/>
  <c r="Q533" i="4" s="1"/>
  <c r="M534" i="4"/>
  <c r="Q534" i="4" s="1"/>
  <c r="M535" i="4"/>
  <c r="Q535" i="4" s="1"/>
  <c r="M536" i="4"/>
  <c r="Q536" i="4" s="1"/>
  <c r="M537" i="4"/>
  <c r="Q537" i="4" s="1"/>
  <c r="M538" i="4"/>
  <c r="Q538" i="4" s="1"/>
  <c r="M539" i="4"/>
  <c r="Q539" i="4" s="1"/>
  <c r="M540" i="4"/>
  <c r="Q540" i="4" s="1"/>
  <c r="M541" i="4"/>
  <c r="Q541" i="4" s="1"/>
  <c r="M542" i="4"/>
  <c r="Q542" i="4" s="1"/>
  <c r="M543" i="4"/>
  <c r="Q543" i="4" s="1"/>
  <c r="M544" i="4"/>
  <c r="Q544" i="4" s="1"/>
  <c r="M545" i="4"/>
  <c r="Q545" i="4" s="1"/>
  <c r="M546" i="4"/>
  <c r="Q546" i="4" s="1"/>
  <c r="M547" i="4"/>
  <c r="Q547" i="4" s="1"/>
  <c r="M548" i="4"/>
  <c r="Q548" i="4" s="1"/>
  <c r="M549" i="4"/>
  <c r="Q549" i="4" s="1"/>
  <c r="M550" i="4"/>
  <c r="Q550" i="4" s="1"/>
  <c r="M551" i="4"/>
  <c r="Q551" i="4" s="1"/>
  <c r="M552" i="4"/>
  <c r="Q552" i="4" s="1"/>
  <c r="M553" i="4"/>
  <c r="Q553" i="4" s="1"/>
  <c r="M554" i="4"/>
  <c r="Q554" i="4" s="1"/>
  <c r="M555" i="4"/>
  <c r="Q555" i="4" s="1"/>
  <c r="M556" i="4"/>
  <c r="Q556" i="4" s="1"/>
  <c r="M557" i="4"/>
  <c r="Q557" i="4" s="1"/>
  <c r="M558" i="4"/>
  <c r="Q558" i="4" s="1"/>
  <c r="M559" i="4"/>
  <c r="Q559" i="4" s="1"/>
  <c r="M560" i="4"/>
  <c r="Q560" i="4" s="1"/>
  <c r="M561" i="4"/>
  <c r="Q561" i="4" s="1"/>
  <c r="M562" i="4"/>
  <c r="Q562" i="4" s="1"/>
  <c r="M563" i="4"/>
  <c r="Q563" i="4" s="1"/>
  <c r="M564" i="4"/>
  <c r="Q564" i="4" s="1"/>
  <c r="M565" i="4"/>
  <c r="Q565" i="4" s="1"/>
  <c r="M566" i="4"/>
  <c r="Q566" i="4" s="1"/>
  <c r="M567" i="4"/>
  <c r="Q567" i="4" s="1"/>
  <c r="M568" i="4"/>
  <c r="Q568" i="4" s="1"/>
  <c r="M569" i="4"/>
  <c r="Q569" i="4" s="1"/>
  <c r="M570" i="4"/>
  <c r="Q570" i="4" s="1"/>
  <c r="M571" i="4"/>
  <c r="Q571" i="4" s="1"/>
  <c r="M572" i="4"/>
  <c r="Q572" i="4" s="1"/>
  <c r="M573" i="4"/>
  <c r="Q573" i="4" s="1"/>
  <c r="M574" i="4"/>
  <c r="Q574" i="4" s="1"/>
  <c r="M575" i="4"/>
  <c r="Q575" i="4" s="1"/>
  <c r="M576" i="4"/>
  <c r="Q576" i="4" s="1"/>
  <c r="M577" i="4"/>
  <c r="Q577" i="4" s="1"/>
  <c r="M2" i="4"/>
  <c r="Q2" i="4" s="1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P194" i="4"/>
  <c r="P195" i="4"/>
  <c r="P196" i="4"/>
  <c r="P197" i="4"/>
  <c r="P198" i="4"/>
  <c r="P199" i="4"/>
  <c r="P200" i="4"/>
  <c r="P201" i="4"/>
  <c r="P202" i="4"/>
  <c r="P203" i="4"/>
  <c r="P204" i="4"/>
  <c r="P205" i="4"/>
  <c r="P206" i="4"/>
  <c r="P207" i="4"/>
  <c r="P208" i="4"/>
  <c r="P209" i="4"/>
  <c r="P210" i="4"/>
  <c r="P211" i="4"/>
  <c r="P212" i="4"/>
  <c r="P213" i="4"/>
  <c r="P214" i="4"/>
  <c r="P215" i="4"/>
  <c r="P216" i="4"/>
  <c r="P217" i="4"/>
  <c r="P218" i="4"/>
  <c r="P219" i="4"/>
  <c r="P220" i="4"/>
  <c r="P221" i="4"/>
  <c r="P222" i="4"/>
  <c r="P223" i="4"/>
  <c r="P224" i="4"/>
  <c r="P225" i="4"/>
  <c r="P226" i="4"/>
  <c r="P227" i="4"/>
  <c r="P228" i="4"/>
  <c r="P229" i="4"/>
  <c r="P230" i="4"/>
  <c r="P231" i="4"/>
  <c r="P232" i="4"/>
  <c r="P233" i="4"/>
  <c r="P234" i="4"/>
  <c r="P235" i="4"/>
  <c r="P236" i="4"/>
  <c r="P237" i="4"/>
  <c r="P238" i="4"/>
  <c r="P239" i="4"/>
  <c r="P240" i="4"/>
  <c r="P241" i="4"/>
  <c r="P242" i="4"/>
  <c r="P243" i="4"/>
  <c r="P244" i="4"/>
  <c r="P245" i="4"/>
  <c r="P246" i="4"/>
  <c r="P247" i="4"/>
  <c r="P248" i="4"/>
  <c r="P249" i="4"/>
  <c r="P250" i="4"/>
  <c r="P251" i="4"/>
  <c r="P252" i="4"/>
  <c r="P253" i="4"/>
  <c r="P254" i="4"/>
  <c r="P255" i="4"/>
  <c r="P256" i="4"/>
  <c r="P257" i="4"/>
  <c r="P258" i="4"/>
  <c r="P259" i="4"/>
  <c r="P260" i="4"/>
  <c r="P261" i="4"/>
  <c r="P262" i="4"/>
  <c r="P263" i="4"/>
  <c r="P264" i="4"/>
  <c r="P265" i="4"/>
  <c r="P266" i="4"/>
  <c r="P267" i="4"/>
  <c r="P268" i="4"/>
  <c r="P269" i="4"/>
  <c r="P270" i="4"/>
  <c r="P271" i="4"/>
  <c r="P272" i="4"/>
  <c r="P273" i="4"/>
  <c r="P274" i="4"/>
  <c r="P275" i="4"/>
  <c r="P276" i="4"/>
  <c r="P277" i="4"/>
  <c r="P278" i="4"/>
  <c r="P279" i="4"/>
  <c r="P280" i="4"/>
  <c r="P281" i="4"/>
  <c r="P282" i="4"/>
  <c r="P283" i="4"/>
  <c r="P284" i="4"/>
  <c r="P285" i="4"/>
  <c r="P286" i="4"/>
  <c r="P287" i="4"/>
  <c r="P288" i="4"/>
  <c r="P289" i="4"/>
  <c r="P290" i="4"/>
  <c r="P291" i="4"/>
  <c r="P292" i="4"/>
  <c r="P293" i="4"/>
  <c r="P294" i="4"/>
  <c r="P295" i="4"/>
  <c r="P296" i="4"/>
  <c r="P297" i="4"/>
  <c r="P298" i="4"/>
  <c r="P299" i="4"/>
  <c r="P300" i="4"/>
  <c r="P301" i="4"/>
  <c r="P302" i="4"/>
  <c r="P303" i="4"/>
  <c r="P304" i="4"/>
  <c r="P305" i="4"/>
  <c r="P306" i="4"/>
  <c r="P307" i="4"/>
  <c r="P308" i="4"/>
  <c r="P309" i="4"/>
  <c r="P310" i="4"/>
  <c r="P311" i="4"/>
  <c r="P312" i="4"/>
  <c r="P313" i="4"/>
  <c r="P314" i="4"/>
  <c r="P315" i="4"/>
  <c r="P316" i="4"/>
  <c r="P317" i="4"/>
  <c r="P318" i="4"/>
  <c r="P319" i="4"/>
  <c r="P320" i="4"/>
  <c r="P321" i="4"/>
  <c r="P322" i="4"/>
  <c r="P323" i="4"/>
  <c r="P324" i="4"/>
  <c r="P325" i="4"/>
  <c r="P326" i="4"/>
  <c r="P327" i="4"/>
  <c r="P328" i="4"/>
  <c r="P329" i="4"/>
  <c r="P330" i="4"/>
  <c r="P331" i="4"/>
  <c r="P332" i="4"/>
  <c r="P333" i="4"/>
  <c r="P334" i="4"/>
  <c r="P335" i="4"/>
  <c r="P336" i="4"/>
  <c r="P337" i="4"/>
  <c r="P338" i="4"/>
  <c r="P339" i="4"/>
  <c r="P340" i="4"/>
  <c r="P341" i="4"/>
  <c r="P342" i="4"/>
  <c r="P343" i="4"/>
  <c r="P344" i="4"/>
  <c r="P345" i="4"/>
  <c r="P346" i="4"/>
  <c r="P347" i="4"/>
  <c r="P348" i="4"/>
  <c r="P349" i="4"/>
  <c r="P350" i="4"/>
  <c r="P351" i="4"/>
  <c r="P352" i="4"/>
  <c r="P353" i="4"/>
  <c r="P354" i="4"/>
  <c r="P355" i="4"/>
  <c r="P356" i="4"/>
  <c r="P357" i="4"/>
  <c r="P358" i="4"/>
  <c r="P359" i="4"/>
  <c r="P360" i="4"/>
  <c r="P361" i="4"/>
  <c r="P362" i="4"/>
  <c r="P363" i="4"/>
  <c r="P364" i="4"/>
  <c r="P365" i="4"/>
  <c r="P366" i="4"/>
  <c r="P367" i="4"/>
  <c r="P368" i="4"/>
  <c r="P369" i="4"/>
  <c r="P370" i="4"/>
  <c r="P371" i="4"/>
  <c r="P372" i="4"/>
  <c r="P373" i="4"/>
  <c r="P374" i="4"/>
  <c r="P375" i="4"/>
  <c r="P376" i="4"/>
  <c r="P377" i="4"/>
  <c r="P378" i="4"/>
  <c r="P379" i="4"/>
  <c r="P380" i="4"/>
  <c r="P381" i="4"/>
  <c r="P382" i="4"/>
  <c r="P383" i="4"/>
  <c r="P384" i="4"/>
  <c r="P385" i="4"/>
  <c r="P386" i="4"/>
  <c r="P387" i="4"/>
  <c r="P388" i="4"/>
  <c r="P389" i="4"/>
  <c r="P390" i="4"/>
  <c r="P391" i="4"/>
  <c r="P392" i="4"/>
  <c r="P393" i="4"/>
  <c r="P394" i="4"/>
  <c r="P395" i="4"/>
  <c r="P396" i="4"/>
  <c r="P397" i="4"/>
  <c r="P398" i="4"/>
  <c r="P399" i="4"/>
  <c r="P400" i="4"/>
  <c r="P401" i="4"/>
  <c r="P402" i="4"/>
  <c r="P403" i="4"/>
  <c r="P404" i="4"/>
  <c r="P405" i="4"/>
  <c r="P406" i="4"/>
  <c r="P407" i="4"/>
  <c r="P408" i="4"/>
  <c r="P409" i="4"/>
  <c r="P410" i="4"/>
  <c r="P411" i="4"/>
  <c r="P412" i="4"/>
  <c r="P413" i="4"/>
  <c r="P414" i="4"/>
  <c r="P415" i="4"/>
  <c r="P416" i="4"/>
  <c r="P417" i="4"/>
  <c r="P418" i="4"/>
  <c r="P419" i="4"/>
  <c r="P420" i="4"/>
  <c r="P421" i="4"/>
  <c r="P422" i="4"/>
  <c r="P423" i="4"/>
  <c r="P424" i="4"/>
  <c r="P425" i="4"/>
  <c r="P426" i="4"/>
  <c r="P427" i="4"/>
  <c r="P428" i="4"/>
  <c r="P429" i="4"/>
  <c r="P430" i="4"/>
  <c r="P431" i="4"/>
  <c r="P432" i="4"/>
  <c r="P433" i="4"/>
  <c r="P434" i="4"/>
  <c r="P435" i="4"/>
  <c r="P436" i="4"/>
  <c r="P437" i="4"/>
  <c r="P438" i="4"/>
  <c r="P439" i="4"/>
  <c r="P440" i="4"/>
  <c r="P441" i="4"/>
  <c r="P442" i="4"/>
  <c r="P443" i="4"/>
  <c r="P444" i="4"/>
  <c r="P445" i="4"/>
  <c r="P446" i="4"/>
  <c r="P447" i="4"/>
  <c r="P448" i="4"/>
  <c r="P449" i="4"/>
  <c r="P450" i="4"/>
  <c r="P451" i="4"/>
  <c r="P452" i="4"/>
  <c r="P453" i="4"/>
  <c r="P454" i="4"/>
  <c r="P455" i="4"/>
  <c r="P456" i="4"/>
  <c r="P457" i="4"/>
  <c r="P458" i="4"/>
  <c r="P459" i="4"/>
  <c r="P460" i="4"/>
  <c r="P461" i="4"/>
  <c r="P462" i="4"/>
  <c r="P463" i="4"/>
  <c r="P464" i="4"/>
  <c r="P465" i="4"/>
  <c r="P466" i="4"/>
  <c r="P467" i="4"/>
  <c r="P468" i="4"/>
  <c r="P469" i="4"/>
  <c r="P470" i="4"/>
  <c r="P471" i="4"/>
  <c r="P472" i="4"/>
  <c r="P473" i="4"/>
  <c r="P474" i="4"/>
  <c r="P475" i="4"/>
  <c r="P476" i="4"/>
  <c r="P477" i="4"/>
  <c r="P478" i="4"/>
  <c r="P479" i="4"/>
  <c r="P480" i="4"/>
  <c r="P481" i="4"/>
  <c r="P482" i="4"/>
  <c r="P483" i="4"/>
  <c r="P484" i="4"/>
  <c r="P485" i="4"/>
  <c r="P486" i="4"/>
  <c r="P487" i="4"/>
  <c r="P488" i="4"/>
  <c r="P489" i="4"/>
  <c r="P490" i="4"/>
  <c r="P491" i="4"/>
  <c r="P492" i="4"/>
  <c r="P493" i="4"/>
  <c r="P494" i="4"/>
  <c r="P495" i="4"/>
  <c r="P496" i="4"/>
  <c r="P497" i="4"/>
  <c r="P498" i="4"/>
  <c r="P499" i="4"/>
  <c r="P500" i="4"/>
  <c r="P501" i="4"/>
  <c r="P502" i="4"/>
  <c r="P503" i="4"/>
  <c r="P504" i="4"/>
  <c r="P505" i="4"/>
  <c r="P506" i="4"/>
  <c r="P507" i="4"/>
  <c r="P508" i="4"/>
  <c r="P509" i="4"/>
  <c r="P510" i="4"/>
  <c r="P511" i="4"/>
  <c r="P512" i="4"/>
  <c r="P513" i="4"/>
  <c r="P514" i="4"/>
  <c r="P515" i="4"/>
  <c r="P516" i="4"/>
  <c r="P517" i="4"/>
  <c r="P518" i="4"/>
  <c r="P519" i="4"/>
  <c r="P520" i="4"/>
  <c r="P521" i="4"/>
  <c r="P522" i="4"/>
  <c r="P523" i="4"/>
  <c r="P524" i="4"/>
  <c r="P525" i="4"/>
  <c r="P526" i="4"/>
  <c r="P527" i="4"/>
  <c r="P528" i="4"/>
  <c r="P529" i="4"/>
  <c r="P530" i="4"/>
  <c r="P531" i="4"/>
  <c r="P532" i="4"/>
  <c r="P533" i="4"/>
  <c r="P534" i="4"/>
  <c r="P535" i="4"/>
  <c r="P536" i="4"/>
  <c r="P537" i="4"/>
  <c r="P538" i="4"/>
  <c r="P539" i="4"/>
  <c r="P540" i="4"/>
  <c r="P541" i="4"/>
  <c r="P542" i="4"/>
  <c r="P543" i="4"/>
  <c r="P544" i="4"/>
  <c r="P545" i="4"/>
  <c r="P546" i="4"/>
  <c r="P547" i="4"/>
  <c r="P548" i="4"/>
  <c r="P549" i="4"/>
  <c r="P550" i="4"/>
  <c r="P551" i="4"/>
  <c r="P552" i="4"/>
  <c r="P553" i="4"/>
  <c r="P554" i="4"/>
  <c r="P555" i="4"/>
  <c r="P556" i="4"/>
  <c r="P557" i="4"/>
  <c r="P558" i="4"/>
  <c r="P559" i="4"/>
  <c r="P560" i="4"/>
  <c r="P561" i="4"/>
  <c r="P562" i="4"/>
  <c r="P563" i="4"/>
  <c r="P564" i="4"/>
  <c r="P565" i="4"/>
  <c r="P566" i="4"/>
  <c r="P567" i="4"/>
  <c r="P568" i="4"/>
  <c r="P569" i="4"/>
  <c r="P570" i="4"/>
  <c r="P571" i="4"/>
  <c r="P572" i="4"/>
  <c r="P573" i="4"/>
  <c r="P574" i="4"/>
  <c r="P575" i="4"/>
  <c r="P576" i="4"/>
  <c r="P577" i="4"/>
  <c r="P2" i="4"/>
  <c r="N2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21" i="4"/>
  <c r="N222" i="4"/>
  <c r="N223" i="4"/>
  <c r="N224" i="4"/>
  <c r="N225" i="4"/>
  <c r="N226" i="4"/>
  <c r="N227" i="4"/>
  <c r="N228" i="4"/>
  <c r="N229" i="4"/>
  <c r="N230" i="4"/>
  <c r="N231" i="4"/>
  <c r="N232" i="4"/>
  <c r="N233" i="4"/>
  <c r="N234" i="4"/>
  <c r="N235" i="4"/>
  <c r="N236" i="4"/>
  <c r="N237" i="4"/>
  <c r="N238" i="4"/>
  <c r="N239" i="4"/>
  <c r="N240" i="4"/>
  <c r="N241" i="4"/>
  <c r="N242" i="4"/>
  <c r="N243" i="4"/>
  <c r="N244" i="4"/>
  <c r="N245" i="4"/>
  <c r="N246" i="4"/>
  <c r="N247" i="4"/>
  <c r="N248" i="4"/>
  <c r="N249" i="4"/>
  <c r="N250" i="4"/>
  <c r="N251" i="4"/>
  <c r="N252" i="4"/>
  <c r="N253" i="4"/>
  <c r="N254" i="4"/>
  <c r="N255" i="4"/>
  <c r="N256" i="4"/>
  <c r="N257" i="4"/>
  <c r="N258" i="4"/>
  <c r="N259" i="4"/>
  <c r="N260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N297" i="4"/>
  <c r="N298" i="4"/>
  <c r="N299" i="4"/>
  <c r="N300" i="4"/>
  <c r="N301" i="4"/>
  <c r="N302" i="4"/>
  <c r="N303" i="4"/>
  <c r="N304" i="4"/>
  <c r="N305" i="4"/>
  <c r="N306" i="4"/>
  <c r="N307" i="4"/>
  <c r="N308" i="4"/>
  <c r="N309" i="4"/>
  <c r="N310" i="4"/>
  <c r="N311" i="4"/>
  <c r="N312" i="4"/>
  <c r="N313" i="4"/>
  <c r="N314" i="4"/>
  <c r="N315" i="4"/>
  <c r="N316" i="4"/>
  <c r="N317" i="4"/>
  <c r="N318" i="4"/>
  <c r="N319" i="4"/>
  <c r="N320" i="4"/>
  <c r="N321" i="4"/>
  <c r="N322" i="4"/>
  <c r="N323" i="4"/>
  <c r="N324" i="4"/>
  <c r="N325" i="4"/>
  <c r="N326" i="4"/>
  <c r="N327" i="4"/>
  <c r="N328" i="4"/>
  <c r="N329" i="4"/>
  <c r="N330" i="4"/>
  <c r="N331" i="4"/>
  <c r="N332" i="4"/>
  <c r="N333" i="4"/>
  <c r="N334" i="4"/>
  <c r="N335" i="4"/>
  <c r="N336" i="4"/>
  <c r="N337" i="4"/>
  <c r="N338" i="4"/>
  <c r="N339" i="4"/>
  <c r="N340" i="4"/>
  <c r="N341" i="4"/>
  <c r="N342" i="4"/>
  <c r="N343" i="4"/>
  <c r="N344" i="4"/>
  <c r="N345" i="4"/>
  <c r="N346" i="4"/>
  <c r="N347" i="4"/>
  <c r="N348" i="4"/>
  <c r="N349" i="4"/>
  <c r="N350" i="4"/>
  <c r="N351" i="4"/>
  <c r="N352" i="4"/>
  <c r="N353" i="4"/>
  <c r="N354" i="4"/>
  <c r="N355" i="4"/>
  <c r="N356" i="4"/>
  <c r="N357" i="4"/>
  <c r="N358" i="4"/>
  <c r="N359" i="4"/>
  <c r="N360" i="4"/>
  <c r="N361" i="4"/>
  <c r="N362" i="4"/>
  <c r="N363" i="4"/>
  <c r="N364" i="4"/>
  <c r="N365" i="4"/>
  <c r="N366" i="4"/>
  <c r="N367" i="4"/>
  <c r="N368" i="4"/>
  <c r="N369" i="4"/>
  <c r="N370" i="4"/>
  <c r="N371" i="4"/>
  <c r="N372" i="4"/>
  <c r="N373" i="4"/>
  <c r="N374" i="4"/>
  <c r="N375" i="4"/>
  <c r="N376" i="4"/>
  <c r="N377" i="4"/>
  <c r="N378" i="4"/>
  <c r="N379" i="4"/>
  <c r="N380" i="4"/>
  <c r="N381" i="4"/>
  <c r="N382" i="4"/>
  <c r="N383" i="4"/>
  <c r="N384" i="4"/>
  <c r="N385" i="4"/>
  <c r="N386" i="4"/>
  <c r="N387" i="4"/>
  <c r="N388" i="4"/>
  <c r="N389" i="4"/>
  <c r="N390" i="4"/>
  <c r="N391" i="4"/>
  <c r="N392" i="4"/>
  <c r="N393" i="4"/>
  <c r="N394" i="4"/>
  <c r="N395" i="4"/>
  <c r="N396" i="4"/>
  <c r="N397" i="4"/>
  <c r="N398" i="4"/>
  <c r="N399" i="4"/>
  <c r="N400" i="4"/>
  <c r="N401" i="4"/>
  <c r="N402" i="4"/>
  <c r="N403" i="4"/>
  <c r="N404" i="4"/>
  <c r="N405" i="4"/>
  <c r="N406" i="4"/>
  <c r="N407" i="4"/>
  <c r="N408" i="4"/>
  <c r="N409" i="4"/>
  <c r="N410" i="4"/>
  <c r="N411" i="4"/>
  <c r="N412" i="4"/>
  <c r="N413" i="4"/>
  <c r="N414" i="4"/>
  <c r="N415" i="4"/>
  <c r="N416" i="4"/>
  <c r="N417" i="4"/>
  <c r="N418" i="4"/>
  <c r="N419" i="4"/>
  <c r="N420" i="4"/>
  <c r="N421" i="4"/>
  <c r="N422" i="4"/>
  <c r="N423" i="4"/>
  <c r="N424" i="4"/>
  <c r="N425" i="4"/>
  <c r="N426" i="4"/>
  <c r="N427" i="4"/>
  <c r="N428" i="4"/>
  <c r="N429" i="4"/>
  <c r="N430" i="4"/>
  <c r="N431" i="4"/>
  <c r="N432" i="4"/>
  <c r="N433" i="4"/>
  <c r="N434" i="4"/>
  <c r="N435" i="4"/>
  <c r="N436" i="4"/>
  <c r="N437" i="4"/>
  <c r="N438" i="4"/>
  <c r="N439" i="4"/>
  <c r="N440" i="4"/>
  <c r="N441" i="4"/>
  <c r="N442" i="4"/>
  <c r="N443" i="4"/>
  <c r="N444" i="4"/>
  <c r="N445" i="4"/>
  <c r="N446" i="4"/>
  <c r="N447" i="4"/>
  <c r="N448" i="4"/>
  <c r="N449" i="4"/>
  <c r="N450" i="4"/>
  <c r="N451" i="4"/>
  <c r="N452" i="4"/>
  <c r="N453" i="4"/>
  <c r="N454" i="4"/>
  <c r="N455" i="4"/>
  <c r="N456" i="4"/>
  <c r="N457" i="4"/>
  <c r="N458" i="4"/>
  <c r="N459" i="4"/>
  <c r="N460" i="4"/>
  <c r="N461" i="4"/>
  <c r="N462" i="4"/>
  <c r="N463" i="4"/>
  <c r="N464" i="4"/>
  <c r="N465" i="4"/>
  <c r="N466" i="4"/>
  <c r="N467" i="4"/>
  <c r="N468" i="4"/>
  <c r="N469" i="4"/>
  <c r="N470" i="4"/>
  <c r="N471" i="4"/>
  <c r="N472" i="4"/>
  <c r="N473" i="4"/>
  <c r="N474" i="4"/>
  <c r="N475" i="4"/>
  <c r="N476" i="4"/>
  <c r="N477" i="4"/>
  <c r="N478" i="4"/>
  <c r="N479" i="4"/>
  <c r="N480" i="4"/>
  <c r="N481" i="4"/>
  <c r="N482" i="4"/>
  <c r="N483" i="4"/>
  <c r="N484" i="4"/>
  <c r="N485" i="4"/>
  <c r="N486" i="4"/>
  <c r="N487" i="4"/>
  <c r="N488" i="4"/>
  <c r="N489" i="4"/>
  <c r="N490" i="4"/>
  <c r="N491" i="4"/>
  <c r="N492" i="4"/>
  <c r="N493" i="4"/>
  <c r="N494" i="4"/>
  <c r="N495" i="4"/>
  <c r="N496" i="4"/>
  <c r="N497" i="4"/>
  <c r="N498" i="4"/>
  <c r="N499" i="4"/>
  <c r="N500" i="4"/>
  <c r="N501" i="4"/>
  <c r="N502" i="4"/>
  <c r="N503" i="4"/>
  <c r="N504" i="4"/>
  <c r="N505" i="4"/>
  <c r="N506" i="4"/>
  <c r="N507" i="4"/>
  <c r="N508" i="4"/>
  <c r="N509" i="4"/>
  <c r="N510" i="4"/>
  <c r="N511" i="4"/>
  <c r="N512" i="4"/>
  <c r="N513" i="4"/>
  <c r="N514" i="4"/>
  <c r="N515" i="4"/>
  <c r="N516" i="4"/>
  <c r="N517" i="4"/>
  <c r="N518" i="4"/>
  <c r="N519" i="4"/>
  <c r="N520" i="4"/>
  <c r="N521" i="4"/>
  <c r="N522" i="4"/>
  <c r="N523" i="4"/>
  <c r="N524" i="4"/>
  <c r="N525" i="4"/>
  <c r="N526" i="4"/>
  <c r="N527" i="4"/>
  <c r="N528" i="4"/>
  <c r="N529" i="4"/>
  <c r="N530" i="4"/>
  <c r="N531" i="4"/>
  <c r="N532" i="4"/>
  <c r="N533" i="4"/>
  <c r="N534" i="4"/>
  <c r="N535" i="4"/>
  <c r="N536" i="4"/>
  <c r="N537" i="4"/>
  <c r="N538" i="4"/>
  <c r="N539" i="4"/>
  <c r="N540" i="4"/>
  <c r="N541" i="4"/>
  <c r="N542" i="4"/>
  <c r="N543" i="4"/>
  <c r="N544" i="4"/>
  <c r="N545" i="4"/>
  <c r="N546" i="4"/>
  <c r="N547" i="4"/>
  <c r="N548" i="4"/>
  <c r="N549" i="4"/>
  <c r="N550" i="4"/>
  <c r="N551" i="4"/>
  <c r="N552" i="4"/>
  <c r="N553" i="4"/>
  <c r="N554" i="4"/>
  <c r="N555" i="4"/>
  <c r="N556" i="4"/>
  <c r="N557" i="4"/>
  <c r="N558" i="4"/>
  <c r="N559" i="4"/>
  <c r="N560" i="4"/>
  <c r="N561" i="4"/>
  <c r="N562" i="4"/>
  <c r="N563" i="4"/>
  <c r="N564" i="4"/>
  <c r="N565" i="4"/>
  <c r="N566" i="4"/>
  <c r="N567" i="4"/>
  <c r="N568" i="4"/>
  <c r="N569" i="4"/>
  <c r="N570" i="4"/>
  <c r="N571" i="4"/>
  <c r="N572" i="4"/>
  <c r="N573" i="4"/>
  <c r="N574" i="4"/>
  <c r="N575" i="4"/>
  <c r="N576" i="4"/>
  <c r="N577" i="4"/>
  <c r="B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F2" i="8" l="1"/>
  <c r="E2" i="8"/>
  <c r="B2" i="8"/>
  <c r="D2" i="8"/>
  <c r="U3" i="4"/>
  <c r="V3" i="4" s="1"/>
  <c r="W3" i="4"/>
  <c r="T3" i="4"/>
  <c r="Z2" i="4" l="1"/>
  <c r="X3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05C183E-100C-4410-80E5-E4F970E779B2}" keepAlive="1" name="Query - Append1" description="Connection to the 'Append1' query in the workbook." type="5" refreshedVersion="8" background="1" saveData="1">
    <dbPr connection="Provider=Microsoft.Mashup.OleDb.1;Data Source=$Workbook$;Location=Append1;Extended Properties=&quot;&quot;" command="SELECT * FROM [Append1]"/>
  </connection>
  <connection id="2" xr16:uid="{D96F29A2-D77F-4306-9671-8268E12B11BC}" keepAlive="1" name="Query - Sales Data" description="Connection to the 'Sales Data' query in the workbook." type="5" refreshedVersion="0" background="1">
    <dbPr connection="Provider=Microsoft.Mashup.OleDb.1;Data Source=$Workbook$;Location=&quot;Sales Data&quot;;Extended Properties=&quot;&quot;" command="SELECT * FROM [Sales Data]"/>
  </connection>
  <connection id="3" xr16:uid="{28EB4C5C-1DF0-46A9-ABAA-6FCB80134FD6}" keepAlive="1" name="Query - Sales Data (2)" description="Connection to the 'Sales Data (2)' query in the workbook." type="5" refreshedVersion="0" background="1">
    <dbPr connection="Provider=Microsoft.Mashup.OleDb.1;Data Source=$Workbook$;Location=&quot;Sales Data (2)&quot;;Extended Properties=&quot;&quot;" command="SELECT * FROM [Sales Data (2)]"/>
  </connection>
  <connection id="4" xr16:uid="{DDE014B3-B4A0-46F9-937D-33E48F6D9958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5" xr16:uid="{10E7564E-77B3-404C-A2E3-2C722E260674}" name="WorksheetConnection_Electronic Shop Sales Dataset!$A$1:$O$577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ElectronicShopSalesDatasetA1O5771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<sst xmlns="http://schemas.openxmlformats.org/spreadsheetml/2006/main" count="3755" uniqueCount="707">
  <si>
    <t>productID</t>
  </si>
  <si>
    <t>product_name</t>
  </si>
  <si>
    <t>product_price</t>
  </si>
  <si>
    <t>number_of_ordered_items</t>
  </si>
  <si>
    <t>order_status</t>
  </si>
  <si>
    <t>customer_name</t>
  </si>
  <si>
    <t>location</t>
  </si>
  <si>
    <t>latitude</t>
  </si>
  <si>
    <t>longitude</t>
  </si>
  <si>
    <t>channel_of_ordering</t>
  </si>
  <si>
    <t>date</t>
  </si>
  <si>
    <t>P00019</t>
  </si>
  <si>
    <t>Smartphone</t>
  </si>
  <si>
    <t>On Hold</t>
  </si>
  <si>
    <t>Massachusetts</t>
  </si>
  <si>
    <t>Phone</t>
  </si>
  <si>
    <t>P00010</t>
  </si>
  <si>
    <t>Gaming Console</t>
  </si>
  <si>
    <t>North Dakota</t>
  </si>
  <si>
    <t>P00003</t>
  </si>
  <si>
    <t>Drone</t>
  </si>
  <si>
    <t>In Process</t>
  </si>
  <si>
    <t>Mississippi</t>
  </si>
  <si>
    <t>Physical</t>
  </si>
  <si>
    <t>P00013</t>
  </si>
  <si>
    <t>Monitor</t>
  </si>
  <si>
    <t>Tennessee</t>
  </si>
  <si>
    <t>Social Media</t>
  </si>
  <si>
    <t>P00006</t>
  </si>
  <si>
    <t>Keyboard</t>
  </si>
  <si>
    <t>Kimberly Fox</t>
  </si>
  <si>
    <t>P00022</t>
  </si>
  <si>
    <t>Charger</t>
  </si>
  <si>
    <t>Delivered</t>
  </si>
  <si>
    <t>Alabama</t>
  </si>
  <si>
    <t>P00008</t>
  </si>
  <si>
    <t>USB Drive</t>
  </si>
  <si>
    <t>Virginia</t>
  </si>
  <si>
    <t>P00007</t>
  </si>
  <si>
    <t>Router</t>
  </si>
  <si>
    <t>Oregon</t>
  </si>
  <si>
    <t>P00024</t>
  </si>
  <si>
    <t>Smart Home Hub</t>
  </si>
  <si>
    <t>Canceled</t>
  </si>
  <si>
    <t>Tiffany Copeland</t>
  </si>
  <si>
    <t>California</t>
  </si>
  <si>
    <t>Camera</t>
  </si>
  <si>
    <t>Vermont</t>
  </si>
  <si>
    <t>Website</t>
  </si>
  <si>
    <t>P00023</t>
  </si>
  <si>
    <t>Washington</t>
  </si>
  <si>
    <t>P00017</t>
  </si>
  <si>
    <t>Printer</t>
  </si>
  <si>
    <t>New Jersey</t>
  </si>
  <si>
    <t>Mobile App</t>
  </si>
  <si>
    <t>Headphones</t>
  </si>
  <si>
    <t>Kathryn Thomas</t>
  </si>
  <si>
    <t>Utah</t>
  </si>
  <si>
    <t>P00009</t>
  </si>
  <si>
    <t>Rhode Island</t>
  </si>
  <si>
    <t>P00015</t>
  </si>
  <si>
    <t>P00002</t>
  </si>
  <si>
    <t>Smartwatch</t>
  </si>
  <si>
    <t>New Mexico</t>
  </si>
  <si>
    <t>P00011</t>
  </si>
  <si>
    <t>Projector</t>
  </si>
  <si>
    <t>Lisa Wells</t>
  </si>
  <si>
    <t>Montana</t>
  </si>
  <si>
    <t>Ronald Parker</t>
  </si>
  <si>
    <t>P00005</t>
  </si>
  <si>
    <t>Indiana</t>
  </si>
  <si>
    <t>Scanner</t>
  </si>
  <si>
    <t>VR Headset</t>
  </si>
  <si>
    <t>Tamara Fernandez</t>
  </si>
  <si>
    <t>Smart TV</t>
  </si>
  <si>
    <t>Colorado</t>
  </si>
  <si>
    <t>South Carolina</t>
  </si>
  <si>
    <t>Maine</t>
  </si>
  <si>
    <t>Texas</t>
  </si>
  <si>
    <t>P00012</t>
  </si>
  <si>
    <t>Delaware</t>
  </si>
  <si>
    <t>David Rush</t>
  </si>
  <si>
    <t>Wisconsin</t>
  </si>
  <si>
    <t>Tablet</t>
  </si>
  <si>
    <t>P00020</t>
  </si>
  <si>
    <t>Louisiana</t>
  </si>
  <si>
    <t>P00021</t>
  </si>
  <si>
    <t>Arizona</t>
  </si>
  <si>
    <t>P00018</t>
  </si>
  <si>
    <t>Laptop</t>
  </si>
  <si>
    <t>P00014</t>
  </si>
  <si>
    <t>Nevada</t>
  </si>
  <si>
    <t>P00004</t>
  </si>
  <si>
    <t>West Virginia</t>
  </si>
  <si>
    <t>Connecticut</t>
  </si>
  <si>
    <t>Mouse</t>
  </si>
  <si>
    <t>Iowa</t>
  </si>
  <si>
    <t>Hard Disk</t>
  </si>
  <si>
    <t>Jerry Thornton</t>
  </si>
  <si>
    <t>Kentucky</t>
  </si>
  <si>
    <t>Minnesota</t>
  </si>
  <si>
    <t>Hawaii</t>
  </si>
  <si>
    <t>P00001</t>
  </si>
  <si>
    <t>Michigan</t>
  </si>
  <si>
    <t>Alaska</t>
  </si>
  <si>
    <t>North Carolina</t>
  </si>
  <si>
    <t>Speaker</t>
  </si>
  <si>
    <t>Kansas</t>
  </si>
  <si>
    <t>Jennifer Fischer</t>
  </si>
  <si>
    <t>South Dakota</t>
  </si>
  <si>
    <t>Georgia</t>
  </si>
  <si>
    <t>Amy Nguyen</t>
  </si>
  <si>
    <t>Maryland</t>
  </si>
  <si>
    <t>Arkansas</t>
  </si>
  <si>
    <t>Brittney Porter</t>
  </si>
  <si>
    <t>Missouri</t>
  </si>
  <si>
    <t>New Hampshire</t>
  </si>
  <si>
    <t>P00016</t>
  </si>
  <si>
    <t>Heather Parker</t>
  </si>
  <si>
    <t>Cindy Castro</t>
  </si>
  <si>
    <t>Illinois</t>
  </si>
  <si>
    <t>Jonathan Collins</t>
  </si>
  <si>
    <t>Wyoming</t>
  </si>
  <si>
    <t>Ohio</t>
  </si>
  <si>
    <t>Power Bank</t>
  </si>
  <si>
    <t>Graphics Card</t>
  </si>
  <si>
    <t>Dennis Casey</t>
  </si>
  <si>
    <t>James Gilmore</t>
  </si>
  <si>
    <t>Heidi Meadows</t>
  </si>
  <si>
    <t>New York</t>
  </si>
  <si>
    <t>Christopher Wright</t>
  </si>
  <si>
    <t>Raymond Powers</t>
  </si>
  <si>
    <t>Florida</t>
  </si>
  <si>
    <t>Angela Nolan</t>
  </si>
  <si>
    <t>Michael Peters</t>
  </si>
  <si>
    <t>Cynthia Finley</t>
  </si>
  <si>
    <t>Lorraine Barnett</t>
  </si>
  <si>
    <t>Gina Bright</t>
  </si>
  <si>
    <t>Robert Wright</t>
  </si>
  <si>
    <t>Raymond Delgado</t>
  </si>
  <si>
    <t>Cheryl Allen</t>
  </si>
  <si>
    <t>Eric Owens</t>
  </si>
  <si>
    <t>Lonnie Sanders</t>
  </si>
  <si>
    <t>Oklahoma</t>
  </si>
  <si>
    <t>Anthony Allen</t>
  </si>
  <si>
    <t>David Williams</t>
  </si>
  <si>
    <t>Pennsylvania</t>
  </si>
  <si>
    <t>Gary Ryan</t>
  </si>
  <si>
    <t>Brittany Whitehead</t>
  </si>
  <si>
    <t>Charles Roy</t>
  </si>
  <si>
    <t>Elizabeth Hall</t>
  </si>
  <si>
    <t>Kurt Morrison</t>
  </si>
  <si>
    <t>John Johnson</t>
  </si>
  <si>
    <t>David Carter</t>
  </si>
  <si>
    <t>Thomas Arnold</t>
  </si>
  <si>
    <t>Christopher Smith</t>
  </si>
  <si>
    <t>Nebraska</t>
  </si>
  <si>
    <t>Angel Ortiz</t>
  </si>
  <si>
    <t>Idaho</t>
  </si>
  <si>
    <t>Darlene Burton</t>
  </si>
  <si>
    <t>Hannah Harvey</t>
  </si>
  <si>
    <t>Rachel Hudson</t>
  </si>
  <si>
    <t>Adam Nelson</t>
  </si>
  <si>
    <t>Jesse Weber</t>
  </si>
  <si>
    <t>Aaron Fletcher</t>
  </si>
  <si>
    <t>Danny Phelps</t>
  </si>
  <si>
    <t>Elizabeth Johnson</t>
  </si>
  <si>
    <t>Melissa Mcconnell</t>
  </si>
  <si>
    <t>Mary Rice</t>
  </si>
  <si>
    <t>Kimberly Mora</t>
  </si>
  <si>
    <t>Miranda Rogers</t>
  </si>
  <si>
    <t>Jason Oliver</t>
  </si>
  <si>
    <t>Ryan Thomas</t>
  </si>
  <si>
    <t>Sharon Jones</t>
  </si>
  <si>
    <t>Terry Vega</t>
  </si>
  <si>
    <t>Jessica Fernandez</t>
  </si>
  <si>
    <t>Teresa Moore</t>
  </si>
  <si>
    <t>Dennis Campbell</t>
  </si>
  <si>
    <t>William Villegas</t>
  </si>
  <si>
    <t>Michael Goodman</t>
  </si>
  <si>
    <t>Christine Hanna</t>
  </si>
  <si>
    <t>Michael Johnson</t>
  </si>
  <si>
    <t>Cheryl Mann</t>
  </si>
  <si>
    <t>Ryan Jackson</t>
  </si>
  <si>
    <t>Carlos Johnson</t>
  </si>
  <si>
    <t>Joshua Bass</t>
  </si>
  <si>
    <t>Kevin Ayala</t>
  </si>
  <si>
    <t>James White</t>
  </si>
  <si>
    <t>John Wells</t>
  </si>
  <si>
    <t>Melissa Lopez</t>
  </si>
  <si>
    <t>Anthony Martin</t>
  </si>
  <si>
    <t>Heidi Pennington</t>
  </si>
  <si>
    <t>Mary Ryan</t>
  </si>
  <si>
    <t>Amber Tran</t>
  </si>
  <si>
    <t>Jonathan Abbott</t>
  </si>
  <si>
    <t>Timothy Lewis</t>
  </si>
  <si>
    <t>Jessica Miranda</t>
  </si>
  <si>
    <t>Michael Coleman</t>
  </si>
  <si>
    <t>Cynthia Shepard</t>
  </si>
  <si>
    <t>Kelly Ramirez</t>
  </si>
  <si>
    <t>Chris Cruz</t>
  </si>
  <si>
    <t>Jeffrey Wagner</t>
  </si>
  <si>
    <t>Stephanie Martinez</t>
  </si>
  <si>
    <t>Deborah Hawkins</t>
  </si>
  <si>
    <t>Jennifer Moore</t>
  </si>
  <si>
    <t>Stacy Lucero</t>
  </si>
  <si>
    <t>Perry Smith</t>
  </si>
  <si>
    <t>Joseph Robinson</t>
  </si>
  <si>
    <t>Ricky Lewis</t>
  </si>
  <si>
    <t>Thomas Mitchell</t>
  </si>
  <si>
    <t>Christina Johnson</t>
  </si>
  <si>
    <t>Diamond Smith</t>
  </si>
  <si>
    <t>Lisa Herrera</t>
  </si>
  <si>
    <t>Scott Butler</t>
  </si>
  <si>
    <t>Tonya Chapman</t>
  </si>
  <si>
    <t>Elizabeth Brady</t>
  </si>
  <si>
    <t>Scott Larson</t>
  </si>
  <si>
    <t>Mary Craig</t>
  </si>
  <si>
    <t>Robert Warner</t>
  </si>
  <si>
    <t>Alyssa Davis</t>
  </si>
  <si>
    <t>Crystal Clark</t>
  </si>
  <si>
    <t>John Jarvis</t>
  </si>
  <si>
    <t>Gail Hancock</t>
  </si>
  <si>
    <t>Ashley Miller</t>
  </si>
  <si>
    <t>Logan Adams</t>
  </si>
  <si>
    <t>Michael Baker</t>
  </si>
  <si>
    <t>Paul Green</t>
  </si>
  <si>
    <t>Erin Nelson</t>
  </si>
  <si>
    <t>Lisa Rivera</t>
  </si>
  <si>
    <t>James Davis</t>
  </si>
  <si>
    <t>Javier Juarez</t>
  </si>
  <si>
    <t>Michael Miller</t>
  </si>
  <si>
    <t>Jessica Williams</t>
  </si>
  <si>
    <t>Danielle Brown</t>
  </si>
  <si>
    <t>Kevin Lee</t>
  </si>
  <si>
    <t>Dylan Hudson PhD</t>
  </si>
  <si>
    <t>Michael Bowman</t>
  </si>
  <si>
    <t>Kayla Jackson</t>
  </si>
  <si>
    <t>Mark White</t>
  </si>
  <si>
    <t>Connie Barnett</t>
  </si>
  <si>
    <t>Jason White</t>
  </si>
  <si>
    <t>Victoria Murphy</t>
  </si>
  <si>
    <t>Laura Harris</t>
  </si>
  <si>
    <t>Jared Davis</t>
  </si>
  <si>
    <t>Renee Johnson</t>
  </si>
  <si>
    <t>Ryan Lopez</t>
  </si>
  <si>
    <t>Charles Alvarez</t>
  </si>
  <si>
    <t>Kimberly Garcia</t>
  </si>
  <si>
    <t>Margaret Smith</t>
  </si>
  <si>
    <t>Larry Lee</t>
  </si>
  <si>
    <t>Scott Dunn</t>
  </si>
  <si>
    <t>William Smith</t>
  </si>
  <si>
    <t>Michael Rodriguez</t>
  </si>
  <si>
    <t>Laura Johnson</t>
  </si>
  <si>
    <t>Jonathan Cook</t>
  </si>
  <si>
    <t>Emily Mitchell</t>
  </si>
  <si>
    <t>Morgan Turner</t>
  </si>
  <si>
    <t>David Clark</t>
  </si>
  <si>
    <t>Michael Stevens</t>
  </si>
  <si>
    <t>Ashley Torres</t>
  </si>
  <si>
    <t>Mitchell Williams</t>
  </si>
  <si>
    <t>Richard Garcia</t>
  </si>
  <si>
    <t>Melissa Johnson</t>
  </si>
  <si>
    <t>Terri Lopez</t>
  </si>
  <si>
    <t>Wendy Williams</t>
  </si>
  <si>
    <t>Kyle Ford</t>
  </si>
  <si>
    <t>Michelle Gomez</t>
  </si>
  <si>
    <t>Heather Swanson</t>
  </si>
  <si>
    <t>Kerry Hanson</t>
  </si>
  <si>
    <t>Antonio Warner</t>
  </si>
  <si>
    <t>Rachel Murphy</t>
  </si>
  <si>
    <t>Erik Sandoval</t>
  </si>
  <si>
    <t>Kristy Morgan</t>
  </si>
  <si>
    <t>Allison Richardson</t>
  </si>
  <si>
    <t>Melissa Mendez</t>
  </si>
  <si>
    <t>Anthony Reeves</t>
  </si>
  <si>
    <t>Angelica Knight</t>
  </si>
  <si>
    <t>Marco Jennings</t>
  </si>
  <si>
    <t>Danielle Hall</t>
  </si>
  <si>
    <t>Maria Wolfe</t>
  </si>
  <si>
    <t>Sarah Mcdaniel</t>
  </si>
  <si>
    <t>Eric Arnold</t>
  </si>
  <si>
    <t>Debra Wright</t>
  </si>
  <si>
    <t>Blake Elliott</t>
  </si>
  <si>
    <t>Michael Hill</t>
  </si>
  <si>
    <t>David Scott</t>
  </si>
  <si>
    <t>Samantha Baker</t>
  </si>
  <si>
    <t>Stephanie Payne</t>
  </si>
  <si>
    <t>Anthony Sanchez</t>
  </si>
  <si>
    <t>Lance Crosby</t>
  </si>
  <si>
    <t>Ricardo Morrow</t>
  </si>
  <si>
    <t>Samantha Delgado</t>
  </si>
  <si>
    <t>Dr. Heather Burnett</t>
  </si>
  <si>
    <t>Nathan Morales</t>
  </si>
  <si>
    <t>Joshua Howard</t>
  </si>
  <si>
    <t>Amanda Cain</t>
  </si>
  <si>
    <t>Eddie Ortiz</t>
  </si>
  <si>
    <t>Kyle Gomez</t>
  </si>
  <si>
    <t>Gabriel Green</t>
  </si>
  <si>
    <t>Jacqueline Mckee</t>
  </si>
  <si>
    <t>Amanda Herrera</t>
  </si>
  <si>
    <t>Meredith Robbins</t>
  </si>
  <si>
    <t>Mary Cruz</t>
  </si>
  <si>
    <t>Katelyn Diaz</t>
  </si>
  <si>
    <t>James Freeman</t>
  </si>
  <si>
    <t>Rachael Fisher</t>
  </si>
  <si>
    <t>Todd Williams</t>
  </si>
  <si>
    <t>Rachel Clarke</t>
  </si>
  <si>
    <t>Cynthia Campbell</t>
  </si>
  <si>
    <t>Anthony Brown</t>
  </si>
  <si>
    <t>Brandon Levy</t>
  </si>
  <si>
    <t>Sarah Collins</t>
  </si>
  <si>
    <t>Elizabeth Saunders</t>
  </si>
  <si>
    <t>Lisa Benitez</t>
  </si>
  <si>
    <t>Erica Marshall</t>
  </si>
  <si>
    <t>Lisa Bradford</t>
  </si>
  <si>
    <t>Jennifer Craig</t>
  </si>
  <si>
    <t>Ryan Campbell</t>
  </si>
  <si>
    <t>Benjamin Roberts</t>
  </si>
  <si>
    <t>John Day</t>
  </si>
  <si>
    <t>Paul Richardson</t>
  </si>
  <si>
    <t>Brandon Jones</t>
  </si>
  <si>
    <t>Dennis Sanchez</t>
  </si>
  <si>
    <t>Hannah Thomas</t>
  </si>
  <si>
    <t>Laura Mills</t>
  </si>
  <si>
    <t>Tracy Garza</t>
  </si>
  <si>
    <t>Jonathan Chaney</t>
  </si>
  <si>
    <t>Phyllis Smith</t>
  </si>
  <si>
    <t>Andrew Cooper</t>
  </si>
  <si>
    <t>Katherine Simpson</t>
  </si>
  <si>
    <t>Lucas Vargas</t>
  </si>
  <si>
    <t>Frank Estrada</t>
  </si>
  <si>
    <t>Maria West</t>
  </si>
  <si>
    <t>Tammy Huang</t>
  </si>
  <si>
    <t>Sandy Lowery</t>
  </si>
  <si>
    <t>Taylor Miller</t>
  </si>
  <si>
    <t>Daniel Gomez</t>
  </si>
  <si>
    <t>Katherine Ramos</t>
  </si>
  <si>
    <t>James Lopez</t>
  </si>
  <si>
    <t>Gregory Scott</t>
  </si>
  <si>
    <t>Frederick Hays</t>
  </si>
  <si>
    <t>Juan Mckenzie</t>
  </si>
  <si>
    <t>Chase Castillo</t>
  </si>
  <si>
    <t>Heather Turner</t>
  </si>
  <si>
    <t>Matthew Baxter</t>
  </si>
  <si>
    <t>Misty Robinson</t>
  </si>
  <si>
    <t>Morgan Williamson</t>
  </si>
  <si>
    <t>Kayla Brown</t>
  </si>
  <si>
    <t>Mr. David Rice</t>
  </si>
  <si>
    <t>Rebecca Novak</t>
  </si>
  <si>
    <t>Kristina Harrison</t>
  </si>
  <si>
    <t>David Moore</t>
  </si>
  <si>
    <t>Kenneth Sanders</t>
  </si>
  <si>
    <t>Adam Clark</t>
  </si>
  <si>
    <t>Ruben Cobb</t>
  </si>
  <si>
    <t>Gina Hernandez</t>
  </si>
  <si>
    <t>Melinda Thompson</t>
  </si>
  <si>
    <t>Heather Christensen</t>
  </si>
  <si>
    <t>Tyrone Williams</t>
  </si>
  <si>
    <t>Christine Vaughn</t>
  </si>
  <si>
    <t>Amanda Conway</t>
  </si>
  <si>
    <t>Jennifer Marquez</t>
  </si>
  <si>
    <t>Michael Rivera</t>
  </si>
  <si>
    <t>Carolyn Espinoza</t>
  </si>
  <si>
    <t>John Ingram</t>
  </si>
  <si>
    <t>Cynthia Drake</t>
  </si>
  <si>
    <t>Lauren Curtis</t>
  </si>
  <si>
    <t>Robert Patton</t>
  </si>
  <si>
    <t>Gabriel Martinez</t>
  </si>
  <si>
    <t>Anna Brown</t>
  </si>
  <si>
    <t>Tiffany Green</t>
  </si>
  <si>
    <t>James Reed</t>
  </si>
  <si>
    <t>Marie Adams</t>
  </si>
  <si>
    <t>Hailey Huffman</t>
  </si>
  <si>
    <t>Jessica Ramsey</t>
  </si>
  <si>
    <t>Ashley Waters</t>
  </si>
  <si>
    <t>Brandon Melendez</t>
  </si>
  <si>
    <t>John Potts</t>
  </si>
  <si>
    <t>Jacob Foster</t>
  </si>
  <si>
    <t>Michael Sanchez</t>
  </si>
  <si>
    <t>James Rush</t>
  </si>
  <si>
    <t>Shawn Wilkins</t>
  </si>
  <si>
    <t>Brandy Herrera</t>
  </si>
  <si>
    <t>Joseph Fuentes</t>
  </si>
  <si>
    <t>Kevin Ware DVM</t>
  </si>
  <si>
    <t>Steven Carter</t>
  </si>
  <si>
    <t>Kayla Parks</t>
  </si>
  <si>
    <t>Mrs. Christine Pugh</t>
  </si>
  <si>
    <t>Rebecca Flores</t>
  </si>
  <si>
    <t>Lisa Wheeler</t>
  </si>
  <si>
    <t>Dennis Tapia</t>
  </si>
  <si>
    <t>Nathan Doyle</t>
  </si>
  <si>
    <t>James Howe</t>
  </si>
  <si>
    <t>Calvin Vaughn</t>
  </si>
  <si>
    <t>David Yates</t>
  </si>
  <si>
    <t>Richard Jimenez</t>
  </si>
  <si>
    <t>Andrew Schwartz</t>
  </si>
  <si>
    <t>Carlos Young</t>
  </si>
  <si>
    <t>James Ramirez</t>
  </si>
  <si>
    <t>Erik Obrien</t>
  </si>
  <si>
    <t>Mark Shaw</t>
  </si>
  <si>
    <t>Dalton Smith</t>
  </si>
  <si>
    <t>Kenneth Krueger</t>
  </si>
  <si>
    <t>Joseph Nelson</t>
  </si>
  <si>
    <t>Angela Perkins</t>
  </si>
  <si>
    <t>Diana Gonzalez</t>
  </si>
  <si>
    <t>Seth Welch</t>
  </si>
  <si>
    <t>Jason Torres</t>
  </si>
  <si>
    <t>Eric Weiss</t>
  </si>
  <si>
    <t>Alexander Salazar</t>
  </si>
  <si>
    <t>Jeffrey Aguilar</t>
  </si>
  <si>
    <t>Christina Ingram</t>
  </si>
  <si>
    <t>Stacey Hall</t>
  </si>
  <si>
    <t>Megan Cummings</t>
  </si>
  <si>
    <t>Anthony Mays</t>
  </si>
  <si>
    <t>Christopher Gibbs</t>
  </si>
  <si>
    <t>Sarah Hunter</t>
  </si>
  <si>
    <t>Donna Mack</t>
  </si>
  <si>
    <t>Kenneth Collier</t>
  </si>
  <si>
    <t>James Faulkner</t>
  </si>
  <si>
    <t>Barbara Rogers</t>
  </si>
  <si>
    <t>Alexis Simpson</t>
  </si>
  <si>
    <t>Jessica Allen</t>
  </si>
  <si>
    <t>Brandon Smith</t>
  </si>
  <si>
    <t>Adrian Cook</t>
  </si>
  <si>
    <t>Alexander Winters</t>
  </si>
  <si>
    <t>Barbara Williams DVM</t>
  </si>
  <si>
    <t>Taylor Lawson</t>
  </si>
  <si>
    <t>Ana Hernandez</t>
  </si>
  <si>
    <t>Leslie Cain MD</t>
  </si>
  <si>
    <t>Desiree Ali</t>
  </si>
  <si>
    <t>Debbie Hudson</t>
  </si>
  <si>
    <t>Norma Aguilar</t>
  </si>
  <si>
    <t>Jessica Ferrell</t>
  </si>
  <si>
    <t>Theresa Lee</t>
  </si>
  <si>
    <t>Timothy Miller</t>
  </si>
  <si>
    <t>Emily Vazquez</t>
  </si>
  <si>
    <t>Rebecca York</t>
  </si>
  <si>
    <t>Steven Baker</t>
  </si>
  <si>
    <t>Jack Ramos</t>
  </si>
  <si>
    <t>Amber Tucker</t>
  </si>
  <si>
    <t>Jill Small</t>
  </si>
  <si>
    <t>Peter Pittman</t>
  </si>
  <si>
    <t>Michelle Garcia</t>
  </si>
  <si>
    <t>Lisa Reid</t>
  </si>
  <si>
    <t>William Rice</t>
  </si>
  <si>
    <t>Allen Watson</t>
  </si>
  <si>
    <t>Diana Martinez DDS</t>
  </si>
  <si>
    <t>Garrett Byrd</t>
  </si>
  <si>
    <t>Brooke Smith</t>
  </si>
  <si>
    <t>Melinda Taylor</t>
  </si>
  <si>
    <t>Nancy Smith</t>
  </si>
  <si>
    <t>Stephanie Griffin</t>
  </si>
  <si>
    <t>Toni Wood</t>
  </si>
  <si>
    <t>Joseph Page</t>
  </si>
  <si>
    <t>Alexa Salinas</t>
  </si>
  <si>
    <t>Nicole Bullock</t>
  </si>
  <si>
    <t>Michael Shea</t>
  </si>
  <si>
    <t>Leonard Odonnell</t>
  </si>
  <si>
    <t>Theresa Jacobson</t>
  </si>
  <si>
    <t>Nicholas Thomas</t>
  </si>
  <si>
    <t>Paula Pearson</t>
  </si>
  <si>
    <t>Susan Smith</t>
  </si>
  <si>
    <t>Nicholas Chan</t>
  </si>
  <si>
    <t>Linda Gates</t>
  </si>
  <si>
    <t>Anne Cox</t>
  </si>
  <si>
    <t>Craig Barajas</t>
  </si>
  <si>
    <t>Hannah Williams</t>
  </si>
  <si>
    <t>Teresa Carroll</t>
  </si>
  <si>
    <t>Melanie King</t>
  </si>
  <si>
    <t>Kenneth Burgess</t>
  </si>
  <si>
    <t>Kendra Smith</t>
  </si>
  <si>
    <t>Austin Gordon</t>
  </si>
  <si>
    <t>Barbara Potter</t>
  </si>
  <si>
    <t>Kelly Gonzales</t>
  </si>
  <si>
    <t>William Herrera</t>
  </si>
  <si>
    <t>Michael Huff</t>
  </si>
  <si>
    <t>Jeffrey Romero</t>
  </si>
  <si>
    <t>Monique Simmons</t>
  </si>
  <si>
    <t>Carlos Mitchell</t>
  </si>
  <si>
    <t>Christina Lee</t>
  </si>
  <si>
    <t>Christopher Jordan</t>
  </si>
  <si>
    <t>Sandra Branch</t>
  </si>
  <si>
    <t>Kaitlin Wells</t>
  </si>
  <si>
    <t>Gary Roy</t>
  </si>
  <si>
    <t>Chase Morales</t>
  </si>
  <si>
    <t>Aaron Sullivan</t>
  </si>
  <si>
    <t>Lynn Carter</t>
  </si>
  <si>
    <t>Mr. Shane White</t>
  </si>
  <si>
    <t>Amanda Buck</t>
  </si>
  <si>
    <t>Patrick Owens</t>
  </si>
  <si>
    <t>Andrew Young</t>
  </si>
  <si>
    <t>David Simpson</t>
  </si>
  <si>
    <t>Melinda Owens</t>
  </si>
  <si>
    <t>Brian Mills</t>
  </si>
  <si>
    <t>Kimberly Rodriguez</t>
  </si>
  <si>
    <t>Tracey Jones</t>
  </si>
  <si>
    <t>Deborah Curtis</t>
  </si>
  <si>
    <t>Jennifer Hammond</t>
  </si>
  <si>
    <t>Crystal Ruiz</t>
  </si>
  <si>
    <t>Bridget Hoffman</t>
  </si>
  <si>
    <t>Curtis Williams</t>
  </si>
  <si>
    <t>Deborah Richardson</t>
  </si>
  <si>
    <t>Scott Ramsey</t>
  </si>
  <si>
    <t>Joyce Armstrong</t>
  </si>
  <si>
    <t>Christopher Ramos</t>
  </si>
  <si>
    <t>Matthew Sherman</t>
  </si>
  <si>
    <t>Kenneth Williams</t>
  </si>
  <si>
    <t>Amber Hendricks</t>
  </si>
  <si>
    <t>William Rose</t>
  </si>
  <si>
    <t>Karen West</t>
  </si>
  <si>
    <t>James Blackburn</t>
  </si>
  <si>
    <t>Ryan Chambers</t>
  </si>
  <si>
    <t>Ryan Wyatt</t>
  </si>
  <si>
    <t>Ashley Meyer</t>
  </si>
  <si>
    <t>Elizabeth Hanson</t>
  </si>
  <si>
    <t>Edward Morris</t>
  </si>
  <si>
    <t>Benjamin Hardy</t>
  </si>
  <si>
    <t>Sarah Bradley</t>
  </si>
  <si>
    <t>John Dillon</t>
  </si>
  <si>
    <t>Joshua Farley</t>
  </si>
  <si>
    <t>Emily Mason</t>
  </si>
  <si>
    <t>Matthew Potter</t>
  </si>
  <si>
    <t>Hayley Moore</t>
  </si>
  <si>
    <t>Lisa Mcgee</t>
  </si>
  <si>
    <t>Katelyn Villa</t>
  </si>
  <si>
    <t>Douglas Ray</t>
  </si>
  <si>
    <t>Brian Duke</t>
  </si>
  <si>
    <t>Charles Stanley</t>
  </si>
  <si>
    <t>Jennifer Hayes</t>
  </si>
  <si>
    <t>Kim Haynes</t>
  </si>
  <si>
    <t>Rita Weaver</t>
  </si>
  <si>
    <t>Diana Gray</t>
  </si>
  <si>
    <t>Lisa Moore</t>
  </si>
  <si>
    <t>Linda Ramirez</t>
  </si>
  <si>
    <t>Vanessa Ball</t>
  </si>
  <si>
    <t>Dr. Robert Harris</t>
  </si>
  <si>
    <t>Steven Jimenez</t>
  </si>
  <si>
    <t>Sara Young</t>
  </si>
  <si>
    <t>John Young</t>
  </si>
  <si>
    <t>Andrea Richardson</t>
  </si>
  <si>
    <t>Pamela Lopez</t>
  </si>
  <si>
    <t>Elizabeth Norman</t>
  </si>
  <si>
    <t>Tanya Robinson</t>
  </si>
  <si>
    <t>Jonathan Nelson</t>
  </si>
  <si>
    <t>Katie Cooper</t>
  </si>
  <si>
    <t>Jennifer Williams</t>
  </si>
  <si>
    <t>Colton Thomas</t>
  </si>
  <si>
    <t>Greg Neal</t>
  </si>
  <si>
    <t>Christopher Schultz</t>
  </si>
  <si>
    <t>John Collins</t>
  </si>
  <si>
    <t>Jessica Harris</t>
  </si>
  <si>
    <t>Jessica Mosley</t>
  </si>
  <si>
    <t>Michael Lewis</t>
  </si>
  <si>
    <t>Bruce Weaver</t>
  </si>
  <si>
    <t>James Young</t>
  </si>
  <si>
    <t>Jorge Allen</t>
  </si>
  <si>
    <t>Patty Franklin</t>
  </si>
  <si>
    <t>Joel Frey</t>
  </si>
  <si>
    <t>Sophia Mitchell</t>
  </si>
  <si>
    <t>Pamela Hudson</t>
  </si>
  <si>
    <t>Daniel Waller</t>
  </si>
  <si>
    <t>Courtney Fox</t>
  </si>
  <si>
    <t>Adam Lopez</t>
  </si>
  <si>
    <t>William Gibbs</t>
  </si>
  <si>
    <t>Jeremy Lindsey</t>
  </si>
  <si>
    <t>Daniel Casey</t>
  </si>
  <si>
    <t>Jose Sweeney</t>
  </si>
  <si>
    <t>Michael Merritt</t>
  </si>
  <si>
    <t>Ashley Reed</t>
  </si>
  <si>
    <t>Louis Houston</t>
  </si>
  <si>
    <t>Samuel Hernandez</t>
  </si>
  <si>
    <t>Amanda Webb</t>
  </si>
  <si>
    <t>Seth Adams</t>
  </si>
  <si>
    <t>Carrie Cox</t>
  </si>
  <si>
    <t>Andrea Wright</t>
  </si>
  <si>
    <t>Angie Wilson</t>
  </si>
  <si>
    <t>Michael Silva</t>
  </si>
  <si>
    <t>Clayton Mcintosh</t>
  </si>
  <si>
    <t>Nathan Harvey</t>
  </si>
  <si>
    <t>Gail Chang</t>
  </si>
  <si>
    <t>Krystal Zavala</t>
  </si>
  <si>
    <t>Derek Gonzalez</t>
  </si>
  <si>
    <t>Justin Mckinney</t>
  </si>
  <si>
    <t>Jessica Scott</t>
  </si>
  <si>
    <t>Kelsey Mcgee</t>
  </si>
  <si>
    <t>Adam Swanson</t>
  </si>
  <si>
    <t>Sarah Martin</t>
  </si>
  <si>
    <t>Kristina Gomez</t>
  </si>
  <si>
    <t>Jeff Rice</t>
  </si>
  <si>
    <t>Robert Skinner</t>
  </si>
  <si>
    <t>Traci Perez</t>
  </si>
  <si>
    <t>Lynn Esparza</t>
  </si>
  <si>
    <t>Erica Hooper</t>
  </si>
  <si>
    <t>Brian Small</t>
  </si>
  <si>
    <t>Christina Phillips</t>
  </si>
  <si>
    <t>Curtis Richardson</t>
  </si>
  <si>
    <t>Robert Green II</t>
  </si>
  <si>
    <t>Erika Allen</t>
  </si>
  <si>
    <t>Connor Perez</t>
  </si>
  <si>
    <t>Donna Ayala</t>
  </si>
  <si>
    <t>Joshua Hale</t>
  </si>
  <si>
    <t>April Thompson</t>
  </si>
  <si>
    <t>Katherine Tyler</t>
  </si>
  <si>
    <t>Matthew Cardenas</t>
  </si>
  <si>
    <t>Amanda Ramsey</t>
  </si>
  <si>
    <t>Nancy Torres</t>
  </si>
  <si>
    <t>Maria Hart</t>
  </si>
  <si>
    <t>Justin Flores</t>
  </si>
  <si>
    <t>Nicole Hancock</t>
  </si>
  <si>
    <t>Amy Hunt</t>
  </si>
  <si>
    <t>Mark Armstrong</t>
  </si>
  <si>
    <t>Courtney Phillips</t>
  </si>
  <si>
    <t>Madison Henderson</t>
  </si>
  <si>
    <t>Samuel Smith</t>
  </si>
  <si>
    <t>Nathaniel Russell</t>
  </si>
  <si>
    <t>Christina Ramirez</t>
  </si>
  <si>
    <t>Dr. James Garrett</t>
  </si>
  <si>
    <t>Suzanne Kelley</t>
  </si>
  <si>
    <t>Roberto Cook</t>
  </si>
  <si>
    <t>Jessica Hale</t>
  </si>
  <si>
    <t>John Bolton</t>
  </si>
  <si>
    <t>Joseph Guzman</t>
  </si>
  <si>
    <t>Marilyn Singleton</t>
  </si>
  <si>
    <t>Elizabeth Leblanc</t>
  </si>
  <si>
    <t>Kristen Warren</t>
  </si>
  <si>
    <t>Brianna Holmes</t>
  </si>
  <si>
    <t>Dakota Bryan</t>
  </si>
  <si>
    <t>Johnny Juarez</t>
  </si>
  <si>
    <t>Anthony Trujillo</t>
  </si>
  <si>
    <t>Pamela Johnson</t>
  </si>
  <si>
    <t>Rebecca Bradshaw</t>
  </si>
  <si>
    <t>Dylan Martin</t>
  </si>
  <si>
    <t>Latoya Hunter</t>
  </si>
  <si>
    <t>Alisha Bruce</t>
  </si>
  <si>
    <t>Kristen Vasquez</t>
  </si>
  <si>
    <t>Donald Roberts</t>
  </si>
  <si>
    <t>Brittany Welch</t>
  </si>
  <si>
    <t>Taylor Gregory</t>
  </si>
  <si>
    <t>Virginia Taylor</t>
  </si>
  <si>
    <t>Garrett Cole</t>
  </si>
  <si>
    <t>Jonathan Aguilar</t>
  </si>
  <si>
    <t>David Chapman</t>
  </si>
  <si>
    <t>Elizabeth Frye</t>
  </si>
  <si>
    <t>Dave Kennedy MD</t>
  </si>
  <si>
    <t>Matthew Armstrong</t>
  </si>
  <si>
    <t>Marcus Anderson</t>
  </si>
  <si>
    <t>Jenny Taylor</t>
  </si>
  <si>
    <t>Christopher Frazier</t>
  </si>
  <si>
    <t>Brandy Harding</t>
  </si>
  <si>
    <t>Stephen Miller</t>
  </si>
  <si>
    <t>Ryan Hatfield</t>
  </si>
  <si>
    <t>Jessica Sanchez</t>
  </si>
  <si>
    <t>Mary Reyes</t>
  </si>
  <si>
    <t>Suzanne James</t>
  </si>
  <si>
    <t>Christopher Lawrence</t>
  </si>
  <si>
    <t>Troy Robinson</t>
  </si>
  <si>
    <t>William Mercer</t>
  </si>
  <si>
    <t>Jessica Grant</t>
  </si>
  <si>
    <t>Lindsay Bailey</t>
  </si>
  <si>
    <t>Rebecca Norris</t>
  </si>
  <si>
    <t>Christopher Robinson</t>
  </si>
  <si>
    <t>Kathleen Petersen</t>
  </si>
  <si>
    <t>Ana Price</t>
  </si>
  <si>
    <t>Melissa Williamson</t>
  </si>
  <si>
    <t>Jill Fernandez PhD</t>
  </si>
  <si>
    <t>Geoffrey Miller</t>
  </si>
  <si>
    <t>Tonya Tate</t>
  </si>
  <si>
    <t>Douglas White</t>
  </si>
  <si>
    <t>Ashley Bowen</t>
  </si>
  <si>
    <t>Kathleen Hickman</t>
  </si>
  <si>
    <t>Lauren Townsend</t>
  </si>
  <si>
    <t>Sean Schmidt</t>
  </si>
  <si>
    <t>Jennifer Wilson</t>
  </si>
  <si>
    <t>Patrick Flores</t>
  </si>
  <si>
    <t>Don Mejia</t>
  </si>
  <si>
    <t>Jessica Kim</t>
  </si>
  <si>
    <t>Corey Briggs</t>
  </si>
  <si>
    <t>Joel Harris</t>
  </si>
  <si>
    <t>Sabrina Henderson</t>
  </si>
  <si>
    <t>Rodney Daniel</t>
  </si>
  <si>
    <t>Noah Kirby</t>
  </si>
  <si>
    <t>Laura Small</t>
  </si>
  <si>
    <t>Kimberly Johnson</t>
  </si>
  <si>
    <t>Alexander Meyer</t>
  </si>
  <si>
    <t>Cynthia Ortiz DDS</t>
  </si>
  <si>
    <t>Hannah Brown</t>
  </si>
  <si>
    <t>Dylan Wiley</t>
  </si>
  <si>
    <t>Phillip Haley</t>
  </si>
  <si>
    <t>Scott Jones</t>
  </si>
  <si>
    <t>Joanna Lester</t>
  </si>
  <si>
    <t>Jason Warren</t>
  </si>
  <si>
    <t>Unique_Product_ID</t>
  </si>
  <si>
    <t>Revenue</t>
  </si>
  <si>
    <t>Discounts</t>
  </si>
  <si>
    <t>Customer_Type</t>
  </si>
  <si>
    <t>Row Labels</t>
  </si>
  <si>
    <t>Grand Total</t>
  </si>
  <si>
    <t>Clean_Date</t>
  </si>
  <si>
    <t>Month_name</t>
  </si>
  <si>
    <t>Unique Products</t>
  </si>
  <si>
    <t>Unique Channels</t>
  </si>
  <si>
    <t>Count_of_UP</t>
  </si>
  <si>
    <t>Count_of_Chan</t>
  </si>
  <si>
    <t>Unique Location</t>
  </si>
  <si>
    <t>Count_ofLOc</t>
  </si>
  <si>
    <t>Product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</si>
</sst>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[$-F800]dddd\,\ mmmm\ dd\,\ yyyy"/>
  </numFmts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</fills>
  <borders count="6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0" fillId="0" borderId="2" xfId="0" applyBorder="1"/>
    <xf numFmtId="14" fontId="0" fillId="0" borderId="0" xfId="0" applyNumberFormat="1"/>
    <xf numFmtId="164" fontId="0" fillId="0" borderId="0" xfId="0" applyNumberFormat="1"/>
    <xf numFmtId="0" fontId="1" fillId="3" borderId="3" xfId="0" applyFont="1" applyFill="1" applyBorder="1"/>
    <xf numFmtId="0" fontId="1" fillId="3" borderId="4" xfId="0" applyFont="1" applyFill="1" applyBorder="1"/>
    <xf numFmtId="164" fontId="1" fillId="3" borderId="4" xfId="0" applyNumberFormat="1" applyFont="1" applyFill="1" applyBorder="1"/>
    <xf numFmtId="14" fontId="1" fillId="3" borderId="4" xfId="0" applyNumberFormat="1" applyFont="1" applyFill="1" applyBorder="1"/>
    <xf numFmtId="0" fontId="1" fillId="3" borderId="5" xfId="0" applyFont="1" applyFill="1" applyBorder="1"/>
    <xf numFmtId="0" fontId="0" fillId="2" borderId="3" xfId="0" applyFill="1" applyBorder="1"/>
    <xf numFmtId="0" fontId="0" fillId="2" borderId="4" xfId="0" applyFill="1" applyBorder="1"/>
    <xf numFmtId="164" fontId="0" fillId="2" borderId="4" xfId="0" applyNumberFormat="1" applyFill="1" applyBorder="1"/>
    <xf numFmtId="14" fontId="0" fillId="2" borderId="4" xfId="0" applyNumberFormat="1" applyFill="1" applyBorder="1"/>
    <xf numFmtId="0" fontId="0" fillId="2" borderId="5" xfId="0" applyFill="1" applyBorder="1"/>
    <xf numFmtId="0" fontId="0" fillId="0" borderId="3" xfId="0" applyBorder="1"/>
    <xf numFmtId="0" fontId="0" fillId="0" borderId="4" xfId="0" applyBorder="1"/>
    <xf numFmtId="164" fontId="0" fillId="0" borderId="4" xfId="0" applyNumberFormat="1" applyBorder="1"/>
    <xf numFmtId="14" fontId="0" fillId="0" borderId="4" xfId="0" applyNumberFormat="1" applyBorder="1"/>
    <xf numFmtId="164" fontId="0" fillId="0" borderId="2" xfId="0" applyNumberFormat="1" applyBorder="1"/>
    <xf numFmtId="14" fontId="0" fillId="0" borderId="2" xfId="0" applyNumberFormat="1" applyBorder="1"/>
    <xf numFmtId="0" fontId="1" fillId="3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0" fontId="1" fillId="3" borderId="0" xfId="0" applyFont="1" applyFill="1" applyBorder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alcChain" Target="calcChain.xml"/><Relationship Id="rId5" Type="http://schemas.openxmlformats.org/officeDocument/2006/relationships/theme" Target="theme/theme1.xml"/><Relationship Id="rId10" Type="http://schemas.openxmlformats.org/officeDocument/2006/relationships/powerPivotData" Target="model/item.data"/><Relationship Id="rId4" Type="http://schemas.openxmlformats.org/officeDocument/2006/relationships/pivotCacheDefinition" Target="pivotCache/pivotCacheDefinition1.xml"/><Relationship Id="rId9" Type="http://schemas.openxmlformats.org/officeDocument/2006/relationships/sheetMetadata" Target="metadata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17.666045601851" backgroundQuery="1" createdVersion="8" refreshedVersion="8" minRefreshableVersion="3" recordCount="0" supportSubquery="1" supportAdvancedDrill="1" xr:uid="{7B9BC837-13ED-44A3-8EB9-0AF59B86434F}">
  <cacheSource type="external" connectionId="4"/>
  <cacheFields count="3">
    <cacheField name="[Range].[Clean_Date (Month)].[Clean_Date (Month)]" caption="Clean_Date (Month)" numFmtId="0" hierarchy="17" level="1">
      <sharedItems count="1">
        <s v="Jan"/>
      </sharedItems>
    </cacheField>
    <cacheField name="[Range].[location].[location]" caption="location" numFmtId="0" hierarchy="7" level="1">
      <sharedItems count="50">
        <s v="Alabama"/>
        <s v="Alaska"/>
        <s v="Arizona"/>
        <s v="Arkansas"/>
        <s v="California"/>
        <s v="Colorado"/>
        <s v="Connecticut"/>
        <s v="Delaware"/>
        <s v="Florida"/>
        <s v="Georgia"/>
        <s v="Hawaii"/>
        <s v="Idaho"/>
        <s v="Illinois"/>
        <s v="Indiana"/>
        <s v="Iowa"/>
        <s v="Kansas"/>
        <s v="Kentucky"/>
        <s v="Louisiana"/>
        <s v="Maine"/>
        <s v="Maryland"/>
        <s v="Massachusetts"/>
        <s v="Michigan"/>
        <s v="Minnesota"/>
        <s v="Mississippi"/>
        <s v="Missouri"/>
        <s v="Montana"/>
        <s v="Nebraska"/>
        <s v="Nevada"/>
        <s v="New Hampshire"/>
        <s v="New Jersey"/>
        <s v="New Mexico"/>
        <s v="New York"/>
        <s v="North Carolina"/>
        <s v="North Dakota"/>
        <s v="Ohio"/>
        <s v="Oklahoma"/>
        <s v="Oregon"/>
        <s v="Pennsylvania"/>
        <s v="Rhode Island"/>
        <s v="South Carolina"/>
        <s v="South Dakota"/>
        <s v="Tennessee"/>
        <s v="Texas"/>
        <s v="Utah"/>
        <s v="Vermont"/>
        <s v="Virginia"/>
        <s v="Washington"/>
        <s v="West Virginia"/>
        <s v="Wisconsin"/>
        <s v="Wyoming"/>
      </sharedItems>
    </cacheField>
    <cacheField name="[Range].[channel_of_ordering].[channel_of_ordering]" caption="channel_of_ordering" numFmtId="0" hierarchy="10" level="1">
      <sharedItems count="5">
        <s v="Phone"/>
        <s v="Physical"/>
        <s v="Social Media"/>
        <s v="Mobile App"/>
        <s v="Website"/>
      </sharedItems>
    </cacheField>
  </cacheFields>
  <cacheHierarchies count="24">
    <cacheHierarchy uniqueName="[Range].[productID]" caption="productID" attribute="1" defaultMemberUniqueName="[Range].[productID].[All]" allUniqueName="[Range].[productID].[All]" dimensionUniqueName="[Range]" displayFolder="" count="0" memberValueDatatype="130" unbalanced="0"/>
    <cacheHierarchy uniqueName="[Range].[Unique_Product_ID]" caption="Unique_Product_ID" attribute="1" defaultMemberUniqueName="[Range].[Unique_Product_ID].[All]" allUniqueName="[Range].[Unique_Product_ID].[All]" dimensionUniqueName="[Range]" displayFolder="" count="0" memberValueDatatype="130" unbalanced="0"/>
    <cacheHierarchy uniqueName="[Range].[product_name]" caption="product_name" attribute="1" defaultMemberUniqueName="[Range].[product_name].[All]" allUniqueName="[Range].[product_name].[All]" dimensionUniqueName="[Range]" displayFolder="" count="0" memberValueDatatype="130" unbalanced="0"/>
    <cacheHierarchy uniqueName="[Range].[product_price]" caption="product_price" attribute="1" defaultMemberUniqueName="[Range].[product_price].[All]" allUniqueName="[Range].[product_price].[All]" dimensionUniqueName="[Range]" displayFolder="" count="0" memberValueDatatype="5" unbalanced="0"/>
    <cacheHierarchy uniqueName="[Range].[number_of_ordered_items]" caption="number_of_ordered_items" attribute="1" defaultMemberUniqueName="[Range].[number_of_ordered_items].[All]" allUniqueName="[Range].[number_of_ordered_items].[All]" dimensionUniqueName="[Range]" displayFolder="" count="0" memberValueDatatype="20" unbalanced="0"/>
    <cacheHierarchy uniqueName="[Range].[order_status]" caption="order_status" attribute="1" defaultMemberUniqueName="[Range].[order_status].[All]" allUniqueName="[Range].[order_status].[All]" dimensionUniqueName="[Range]" displayFolder="" count="0" memberValueDatatype="130" unbalanced="0"/>
    <cacheHierarchy uniqueName="[Range].[customer_name]" caption="customer_name" attribute="1" defaultMemberUniqueName="[Range].[customer_name].[All]" allUniqueName="[Range].[customer_name].[All]" dimensionUniqueName="[Range]" displayFolder="" count="0" memberValueDatatype="130" unbalanced="0"/>
    <cacheHierarchy uniqueName="[Range].[location]" caption="location" attribute="1" defaultMemberUniqueName="[Range].[location].[All]" allUniqueName="[Range].[location].[All]" dimensionUniqueName="[Range]" displayFolder="" count="2" memberValueDatatype="130" unbalanced="0">
      <fieldsUsage count="2">
        <fieldUsage x="-1"/>
        <fieldUsage x="1"/>
      </fieldsUsage>
    </cacheHierarchy>
    <cacheHierarchy uniqueName="[Range].[latitude]" caption="latitude" attribute="1" defaultMemberUniqueName="[Range].[latitude].[All]" allUniqueName="[Range].[latitude].[All]" dimensionUniqueName="[Range]" displayFolder="" count="0" memberValueDatatype="5" unbalanced="0"/>
    <cacheHierarchy uniqueName="[Range].[longitude]" caption="longitude" attribute="1" defaultMemberUniqueName="[Range].[longitude].[All]" allUniqueName="[Range].[longitude].[All]" dimensionUniqueName="[Range]" displayFolder="" count="0" memberValueDatatype="5" unbalanced="0"/>
    <cacheHierarchy uniqueName="[Range].[channel_of_ordering]" caption="channel_of_ordering" attribute="1" defaultMemberUniqueName="[Range].[channel_of_ordering].[All]" allUniqueName="[Range].[channel_of_ordering].[All]" dimensionUniqueName="[Range]" displayFolder="" count="2" memberValueDatatype="130" unbalanced="0">
      <fieldsUsage count="2">
        <fieldUsage x="-1"/>
        <fieldUsage x="2"/>
      </fieldsUsage>
    </cacheHierarchy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Clean_Date]" caption="Clean_Date" attribute="1" time="1" defaultMemberUniqueName="[Range].[Clean_Date].[All]" allUniqueName="[Range].[Clean_Date].[All]" dimensionUniqueName="[Range]" displayFolder="" count="0" memberValueDatatype="7" unbalanced="0"/>
    <cacheHierarchy uniqueName="[Range].[Revenue]" caption="Revenue" attribute="1" defaultMemberUniqueName="[Range].[Revenue].[All]" allUniqueName="[Range].[Revenue].[All]" dimensionUniqueName="[Range]" displayFolder="" count="0" memberValueDatatype="5" unbalanced="0"/>
    <cacheHierarchy uniqueName="[Range].[Discounts]" caption="Discounts" attribute="1" defaultMemberUniqueName="[Range].[Discounts].[All]" allUniqueName="[Range].[Discounts].[All]" dimensionUniqueName="[Range]" displayFolder="" count="0" memberValueDatatype="5" unbalanced="0"/>
    <cacheHierarchy uniqueName="[Range].[Customer_Type]" caption="Customer_Type" attribute="1" defaultMemberUniqueName="[Range].[Customer_Type].[All]" allUniqueName="[Range].[Customer_Type].[All]" dimensionUniqueName="[Range]" displayFolder="" count="0" memberValueDatatype="130" unbalanced="0"/>
    <cacheHierarchy uniqueName="[Range].[date (Month)]" caption="date (Month)" attribute="1" defaultMemberUniqueName="[Range].[date (Month)].[All]" allUniqueName="[Range].[date (Month)].[All]" dimensionUniqueName="[Range]" displayFolder="" count="0" memberValueDatatype="130" unbalanced="0"/>
    <cacheHierarchy uniqueName="[Range].[Clean_Date (Month)]" caption="Clean_Date (Month)" attribute="1" defaultMemberUniqueName="[Range].[Clean_Date (Month)].[All]" allUniqueName="[Range].[Clean_Date (Month)].[All]" dimensionUniqueName="[Range]" displayFolder="" count="2" memberValueDatatype="130" unbalanced="0">
      <fieldsUsage count="2">
        <fieldUsage x="-1"/>
        <fieldUsage x="0"/>
      </fieldsUsage>
    </cacheHierarchy>
    <cacheHierarchy uniqueName="[Range].[Clean_Date (Month Index)]" caption="Clean_Date (Month Index)" attribute="1" defaultMemberUniqueName="[Range].[Clean_Date (Month Index)].[All]" allUniqueName="[Range].[Clean_Date (Month Index)].[All]" dimensionUniqueName="[Range]" displayFolder="" count="0" memberValueDatatype="20" unbalanced="0" hidden="1"/>
    <cacheHierarchy uniqueName="[Range].[date (Month Index)]" caption="date (Month Index)" attribute="1" defaultMemberUniqueName="[Range].[date (Month Index)].[All]" allUniqueName="[Range].[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Revenue]" caption="Sum of Revenue" measure="1" displayFolder="" measureGroup="Rang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oduct_price]" caption="Sum of product_price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FB842A-C819-4973-A2D6-927D85E55872}" name="PivotTable2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272" firstHeaderRow="1" firstDataRow="1" firstDataCol="1"/>
  <pivotFields count="3">
    <pivotField allDrilled="1" subtotalTop="0" showAll="0" dataSourceSort="1" defaultSubtotal="0" defaultAttributeDrillState="1">
      <items count="1">
        <item s="1" x="0"/>
      </items>
    </pivotField>
    <pivotField axis="axisRow" allDrilled="1" subtotalTop="0" showAll="0" dataSourceSort="1" defaultSubtotal="0" defaultAttributeDrillState="1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</items>
    </pivotField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2">
    <field x="1"/>
    <field x="2"/>
  </rowFields>
  <rowItems count="269">
    <i>
      <x/>
    </i>
    <i r="1">
      <x/>
    </i>
    <i r="1">
      <x v="1"/>
    </i>
    <i r="1">
      <x v="2"/>
    </i>
    <i>
      <x v="1"/>
    </i>
    <i r="1">
      <x v="3"/>
    </i>
    <i r="1">
      <x/>
    </i>
    <i r="1">
      <x v="1"/>
    </i>
    <i r="1">
      <x v="2"/>
    </i>
    <i r="1">
      <x v="4"/>
    </i>
    <i>
      <x v="2"/>
    </i>
    <i r="1">
      <x v="3"/>
    </i>
    <i r="1">
      <x/>
    </i>
    <i r="1">
      <x v="1"/>
    </i>
    <i r="1">
      <x v="2"/>
    </i>
    <i r="1">
      <x v="4"/>
    </i>
    <i>
      <x v="3"/>
    </i>
    <i r="1">
      <x v="3"/>
    </i>
    <i r="1">
      <x/>
    </i>
    <i r="1">
      <x v="4"/>
    </i>
    <i>
      <x v="4"/>
    </i>
    <i r="1">
      <x v="3"/>
    </i>
    <i r="1">
      <x/>
    </i>
    <i r="1">
      <x v="1"/>
    </i>
    <i r="1">
      <x v="4"/>
    </i>
    <i>
      <x v="5"/>
    </i>
    <i r="1">
      <x v="3"/>
    </i>
    <i r="1">
      <x/>
    </i>
    <i r="1">
      <x v="1"/>
    </i>
    <i r="1">
      <x v="2"/>
    </i>
    <i r="1">
      <x v="4"/>
    </i>
    <i>
      <x v="6"/>
    </i>
    <i r="1">
      <x v="3"/>
    </i>
    <i r="1">
      <x/>
    </i>
    <i r="1">
      <x v="1"/>
    </i>
    <i r="1">
      <x v="2"/>
    </i>
    <i r="1">
      <x v="4"/>
    </i>
    <i>
      <x v="7"/>
    </i>
    <i r="1">
      <x v="3"/>
    </i>
    <i r="1">
      <x/>
    </i>
    <i r="1">
      <x v="1"/>
    </i>
    <i r="1">
      <x v="2"/>
    </i>
    <i r="1">
      <x v="4"/>
    </i>
    <i>
      <x v="8"/>
    </i>
    <i r="1">
      <x v="3"/>
    </i>
    <i r="1">
      <x/>
    </i>
    <i r="1">
      <x v="1"/>
    </i>
    <i r="1">
      <x v="2"/>
    </i>
    <i r="1">
      <x v="4"/>
    </i>
    <i>
      <x v="9"/>
    </i>
    <i r="1">
      <x v="3"/>
    </i>
    <i r="1">
      <x/>
    </i>
    <i r="1">
      <x v="1"/>
    </i>
    <i r="1">
      <x v="2"/>
    </i>
    <i r="1">
      <x v="4"/>
    </i>
    <i>
      <x v="10"/>
    </i>
    <i r="1">
      <x v="3"/>
    </i>
    <i r="1">
      <x v="1"/>
    </i>
    <i r="1">
      <x v="2"/>
    </i>
    <i r="1">
      <x v="4"/>
    </i>
    <i>
      <x v="11"/>
    </i>
    <i r="1">
      <x/>
    </i>
    <i r="1">
      <x v="1"/>
    </i>
    <i r="1">
      <x v="4"/>
    </i>
    <i>
      <x v="12"/>
    </i>
    <i r="1">
      <x v="3"/>
    </i>
    <i r="1">
      <x/>
    </i>
    <i r="1">
      <x v="1"/>
    </i>
    <i r="1">
      <x v="2"/>
    </i>
    <i r="1">
      <x v="4"/>
    </i>
    <i>
      <x v="13"/>
    </i>
    <i r="1">
      <x v="3"/>
    </i>
    <i r="1">
      <x/>
    </i>
    <i r="1">
      <x v="1"/>
    </i>
    <i r="1">
      <x v="2"/>
    </i>
    <i r="1">
      <x v="4"/>
    </i>
    <i>
      <x v="14"/>
    </i>
    <i r="1">
      <x v="3"/>
    </i>
    <i r="1">
      <x/>
    </i>
    <i r="1">
      <x v="1"/>
    </i>
    <i r="1">
      <x v="2"/>
    </i>
    <i r="1">
      <x v="4"/>
    </i>
    <i>
      <x v="15"/>
    </i>
    <i r="1">
      <x v="3"/>
    </i>
    <i r="1">
      <x/>
    </i>
    <i r="1">
      <x v="1"/>
    </i>
    <i r="1">
      <x v="2"/>
    </i>
    <i r="1">
      <x v="4"/>
    </i>
    <i>
      <x v="16"/>
    </i>
    <i r="1">
      <x v="3"/>
    </i>
    <i r="1">
      <x/>
    </i>
    <i r="1">
      <x v="1"/>
    </i>
    <i r="1">
      <x v="4"/>
    </i>
    <i>
      <x v="17"/>
    </i>
    <i r="1">
      <x/>
    </i>
    <i r="1">
      <x v="1"/>
    </i>
    <i r="1">
      <x v="2"/>
    </i>
    <i r="1">
      <x v="4"/>
    </i>
    <i>
      <x v="18"/>
    </i>
    <i r="1">
      <x v="3"/>
    </i>
    <i r="1">
      <x/>
    </i>
    <i r="1">
      <x v="1"/>
    </i>
    <i r="1">
      <x v="2"/>
    </i>
    <i r="1">
      <x v="4"/>
    </i>
    <i>
      <x v="19"/>
    </i>
    <i r="1">
      <x v="3"/>
    </i>
    <i r="1">
      <x v="1"/>
    </i>
    <i r="1">
      <x v="2"/>
    </i>
    <i r="1">
      <x v="4"/>
    </i>
    <i>
      <x v="20"/>
    </i>
    <i r="1">
      <x v="3"/>
    </i>
    <i r="1">
      <x/>
    </i>
    <i r="1">
      <x v="1"/>
    </i>
    <i r="1">
      <x v="4"/>
    </i>
    <i>
      <x v="21"/>
    </i>
    <i r="1">
      <x v="1"/>
    </i>
    <i r="1">
      <x v="2"/>
    </i>
    <i r="1">
      <x v="4"/>
    </i>
    <i>
      <x v="22"/>
    </i>
    <i r="1">
      <x/>
    </i>
    <i r="1">
      <x v="1"/>
    </i>
    <i r="1">
      <x v="2"/>
    </i>
    <i r="1">
      <x v="4"/>
    </i>
    <i>
      <x v="23"/>
    </i>
    <i r="1">
      <x/>
    </i>
    <i r="1">
      <x v="1"/>
    </i>
    <i r="1">
      <x v="2"/>
    </i>
    <i r="1">
      <x v="4"/>
    </i>
    <i>
      <x v="24"/>
    </i>
    <i r="1">
      <x v="3"/>
    </i>
    <i r="1">
      <x v="1"/>
    </i>
    <i r="1">
      <x v="2"/>
    </i>
    <i>
      <x v="25"/>
    </i>
    <i r="1">
      <x v="3"/>
    </i>
    <i r="1">
      <x v="1"/>
    </i>
    <i r="1">
      <x v="2"/>
    </i>
    <i r="1">
      <x v="4"/>
    </i>
    <i>
      <x v="26"/>
    </i>
    <i r="1">
      <x v="3"/>
    </i>
    <i r="1">
      <x/>
    </i>
    <i r="1">
      <x v="1"/>
    </i>
    <i r="1">
      <x v="2"/>
    </i>
    <i r="1">
      <x v="4"/>
    </i>
    <i>
      <x v="27"/>
    </i>
    <i r="1">
      <x v="3"/>
    </i>
    <i r="1">
      <x/>
    </i>
    <i r="1">
      <x v="1"/>
    </i>
    <i r="1">
      <x v="2"/>
    </i>
    <i r="1">
      <x v="4"/>
    </i>
    <i>
      <x v="28"/>
    </i>
    <i r="1">
      <x v="3"/>
    </i>
    <i r="1">
      <x/>
    </i>
    <i r="1">
      <x v="1"/>
    </i>
    <i r="1">
      <x v="2"/>
    </i>
    <i r="1">
      <x v="4"/>
    </i>
    <i>
      <x v="29"/>
    </i>
    <i r="1">
      <x v="3"/>
    </i>
    <i r="1">
      <x/>
    </i>
    <i r="1">
      <x v="1"/>
    </i>
    <i r="1">
      <x v="4"/>
    </i>
    <i>
      <x v="30"/>
    </i>
    <i r="1">
      <x v="3"/>
    </i>
    <i r="1">
      <x/>
    </i>
    <i r="1">
      <x v="1"/>
    </i>
    <i>
      <x v="31"/>
    </i>
    <i r="1">
      <x v="3"/>
    </i>
    <i r="1">
      <x v="1"/>
    </i>
    <i r="1">
      <x v="2"/>
    </i>
    <i r="1">
      <x v="4"/>
    </i>
    <i>
      <x v="32"/>
    </i>
    <i r="1">
      <x v="3"/>
    </i>
    <i r="1">
      <x/>
    </i>
    <i r="1">
      <x v="1"/>
    </i>
    <i r="1">
      <x v="4"/>
    </i>
    <i>
      <x v="33"/>
    </i>
    <i r="1">
      <x v="3"/>
    </i>
    <i r="1">
      <x/>
    </i>
    <i r="1">
      <x v="1"/>
    </i>
    <i r="1">
      <x v="2"/>
    </i>
    <i r="1">
      <x v="4"/>
    </i>
    <i>
      <x v="34"/>
    </i>
    <i r="1">
      <x v="3"/>
    </i>
    <i r="1">
      <x/>
    </i>
    <i r="1">
      <x v="2"/>
    </i>
    <i r="1">
      <x v="4"/>
    </i>
    <i>
      <x v="35"/>
    </i>
    <i r="1">
      <x v="3"/>
    </i>
    <i r="1">
      <x v="1"/>
    </i>
    <i r="1">
      <x v="2"/>
    </i>
    <i r="1">
      <x v="4"/>
    </i>
    <i>
      <x v="36"/>
    </i>
    <i r="1">
      <x v="3"/>
    </i>
    <i r="1">
      <x/>
    </i>
    <i r="1">
      <x v="1"/>
    </i>
    <i r="1">
      <x v="2"/>
    </i>
    <i r="1">
      <x v="4"/>
    </i>
    <i>
      <x v="37"/>
    </i>
    <i r="1">
      <x v="3"/>
    </i>
    <i r="1">
      <x/>
    </i>
    <i r="1">
      <x v="1"/>
    </i>
    <i r="1">
      <x v="2"/>
    </i>
    <i r="1">
      <x v="4"/>
    </i>
    <i>
      <x v="38"/>
    </i>
    <i r="1">
      <x v="3"/>
    </i>
    <i r="1">
      <x/>
    </i>
    <i r="1">
      <x v="1"/>
    </i>
    <i r="1">
      <x v="2"/>
    </i>
    <i>
      <x v="39"/>
    </i>
    <i r="1">
      <x v="3"/>
    </i>
    <i r="1">
      <x/>
    </i>
    <i r="1">
      <x v="1"/>
    </i>
    <i r="1">
      <x v="2"/>
    </i>
    <i r="1">
      <x v="4"/>
    </i>
    <i>
      <x v="40"/>
    </i>
    <i r="1">
      <x v="3"/>
    </i>
    <i r="1">
      <x v="1"/>
    </i>
    <i r="1">
      <x v="2"/>
    </i>
    <i>
      <x v="41"/>
    </i>
    <i r="1">
      <x v="3"/>
    </i>
    <i r="1">
      <x/>
    </i>
    <i r="1">
      <x v="1"/>
    </i>
    <i r="1">
      <x v="2"/>
    </i>
    <i>
      <x v="42"/>
    </i>
    <i r="1">
      <x v="3"/>
    </i>
    <i r="1">
      <x/>
    </i>
    <i r="1">
      <x v="1"/>
    </i>
    <i r="1">
      <x v="2"/>
    </i>
    <i r="1">
      <x v="4"/>
    </i>
    <i>
      <x v="43"/>
    </i>
    <i r="1">
      <x v="3"/>
    </i>
    <i r="1">
      <x/>
    </i>
    <i r="1">
      <x v="1"/>
    </i>
    <i r="1">
      <x v="2"/>
    </i>
    <i r="1">
      <x v="4"/>
    </i>
    <i>
      <x v="44"/>
    </i>
    <i r="1">
      <x v="3"/>
    </i>
    <i r="1">
      <x/>
    </i>
    <i r="1">
      <x v="1"/>
    </i>
    <i r="1">
      <x v="2"/>
    </i>
    <i r="1">
      <x v="4"/>
    </i>
    <i>
      <x v="45"/>
    </i>
    <i r="1">
      <x v="3"/>
    </i>
    <i r="1">
      <x/>
    </i>
    <i r="1">
      <x v="2"/>
    </i>
    <i r="1">
      <x v="4"/>
    </i>
    <i>
      <x v="46"/>
    </i>
    <i r="1">
      <x v="3"/>
    </i>
    <i r="1">
      <x/>
    </i>
    <i r="1">
      <x v="1"/>
    </i>
    <i r="1">
      <x v="2"/>
    </i>
    <i r="1">
      <x v="4"/>
    </i>
    <i>
      <x v="47"/>
    </i>
    <i r="1">
      <x v="3"/>
    </i>
    <i r="1">
      <x/>
    </i>
    <i r="1">
      <x v="1"/>
    </i>
    <i r="1">
      <x v="2"/>
    </i>
    <i r="1">
      <x v="4"/>
    </i>
    <i>
      <x v="48"/>
    </i>
    <i r="1">
      <x v="3"/>
    </i>
    <i r="1">
      <x/>
    </i>
    <i r="1">
      <x v="1"/>
    </i>
    <i r="1">
      <x v="2"/>
    </i>
    <i>
      <x v="49"/>
    </i>
    <i r="1">
      <x v="3"/>
    </i>
    <i r="1">
      <x/>
    </i>
    <i r="1">
      <x v="1"/>
    </i>
    <i r="1">
      <x v="2"/>
    </i>
    <i r="1">
      <x v="4"/>
    </i>
    <i t="grand">
      <x/>
    </i>
  </rowItem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7"/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lectronic Shop Sales Dataset!$A$1:$O$577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A8BBC-6C96-46EC-BFAE-DAE34EEBC438}">
  <dimension ref="A3:A272"/>
  <sheetViews>
    <sheetView workbookViewId="0">
      <selection activeCell="A4" sqref="A4"/>
    </sheetView>
  </sheetViews>
  <sheetFormatPr defaultRowHeight="15" x14ac:dyDescent="0.25"/>
  <cols>
    <col min="1" max="1" width="17.28515625" bestFit="1" customWidth="1"/>
    <col min="2" max="3" width="15.85546875" bestFit="1" customWidth="1"/>
    <col min="4" max="4" width="4.28515625" bestFit="1" customWidth="1"/>
    <col min="5" max="5" width="4" bestFit="1" customWidth="1"/>
    <col min="6" max="6" width="4.5703125" bestFit="1" customWidth="1"/>
    <col min="7" max="7" width="4" bestFit="1" customWidth="1"/>
    <col min="8" max="8" width="3.42578125" bestFit="1" customWidth="1"/>
    <col min="9" max="9" width="4.28515625" bestFit="1" customWidth="1"/>
    <col min="10" max="10" width="4.42578125" bestFit="1" customWidth="1"/>
    <col min="11" max="11" width="4.140625" bestFit="1" customWidth="1"/>
    <col min="12" max="12" width="4.5703125" bestFit="1" customWidth="1"/>
    <col min="13" max="13" width="11.28515625" bestFit="1" customWidth="1"/>
    <col min="14" max="32" width="9.42578125" bestFit="1" customWidth="1"/>
    <col min="33" max="41" width="8.42578125" bestFit="1" customWidth="1"/>
    <col min="42" max="59" width="9.42578125" bestFit="1" customWidth="1"/>
    <col min="60" max="65" width="8.42578125" bestFit="1" customWidth="1"/>
    <col min="66" max="80" width="9.42578125" bestFit="1" customWidth="1"/>
    <col min="81" max="89" width="8.42578125" bestFit="1" customWidth="1"/>
    <col min="90" max="106" width="9.42578125" bestFit="1" customWidth="1"/>
    <col min="107" max="112" width="8.42578125" bestFit="1" customWidth="1"/>
    <col min="113" max="131" width="9.42578125" bestFit="1" customWidth="1"/>
    <col min="132" max="137" width="8.42578125" bestFit="1" customWidth="1"/>
    <col min="138" max="153" width="9.42578125" bestFit="1" customWidth="1"/>
    <col min="154" max="157" width="8.42578125" bestFit="1" customWidth="1"/>
    <col min="158" max="174" width="9.42578125" bestFit="1" customWidth="1"/>
    <col min="175" max="180" width="8.42578125" bestFit="1" customWidth="1"/>
    <col min="181" max="196" width="9.42578125" bestFit="1" customWidth="1"/>
    <col min="197" max="201" width="8.42578125" bestFit="1" customWidth="1"/>
    <col min="202" max="214" width="9.42578125" bestFit="1" customWidth="1"/>
    <col min="215" max="226" width="10.42578125" bestFit="1" customWidth="1"/>
    <col min="227" max="232" width="9.42578125" bestFit="1" customWidth="1"/>
    <col min="233" max="241" width="10.42578125" bestFit="1" customWidth="1"/>
    <col min="242" max="242" width="11.28515625" bestFit="1" customWidth="1"/>
  </cols>
  <sheetData>
    <row r="3" spans="1:1" x14ac:dyDescent="0.25">
      <c r="A3" s="22" t="s">
        <v>696</v>
      </c>
    </row>
    <row r="4" spans="1:1" x14ac:dyDescent="0.25">
      <c r="A4" s="23" t="s">
        <v>34</v>
      </c>
    </row>
    <row r="5" spans="1:1" x14ac:dyDescent="0.25">
      <c r="A5" s="26" t="s">
        <v>15</v>
      </c>
    </row>
    <row r="6" spans="1:1" x14ac:dyDescent="0.25">
      <c r="A6" s="26" t="s">
        <v>23</v>
      </c>
    </row>
    <row r="7" spans="1:1" x14ac:dyDescent="0.25">
      <c r="A7" s="26" t="s">
        <v>27</v>
      </c>
    </row>
    <row r="8" spans="1:1" x14ac:dyDescent="0.25">
      <c r="A8" s="23" t="s">
        <v>104</v>
      </c>
    </row>
    <row r="9" spans="1:1" x14ac:dyDescent="0.25">
      <c r="A9" s="26" t="s">
        <v>54</v>
      </c>
    </row>
    <row r="10" spans="1:1" x14ac:dyDescent="0.25">
      <c r="A10" s="26" t="s">
        <v>15</v>
      </c>
    </row>
    <row r="11" spans="1:1" x14ac:dyDescent="0.25">
      <c r="A11" s="26" t="s">
        <v>23</v>
      </c>
    </row>
    <row r="12" spans="1:1" x14ac:dyDescent="0.25">
      <c r="A12" s="26" t="s">
        <v>27</v>
      </c>
    </row>
    <row r="13" spans="1:1" x14ac:dyDescent="0.25">
      <c r="A13" s="26" t="s">
        <v>48</v>
      </c>
    </row>
    <row r="14" spans="1:1" x14ac:dyDescent="0.25">
      <c r="A14" s="23" t="s">
        <v>87</v>
      </c>
    </row>
    <row r="15" spans="1:1" x14ac:dyDescent="0.25">
      <c r="A15" s="26" t="s">
        <v>54</v>
      </c>
    </row>
    <row r="16" spans="1:1" x14ac:dyDescent="0.25">
      <c r="A16" s="26" t="s">
        <v>15</v>
      </c>
    </row>
    <row r="17" spans="1:1" x14ac:dyDescent="0.25">
      <c r="A17" s="26" t="s">
        <v>23</v>
      </c>
    </row>
    <row r="18" spans="1:1" x14ac:dyDescent="0.25">
      <c r="A18" s="26" t="s">
        <v>27</v>
      </c>
    </row>
    <row r="19" spans="1:1" x14ac:dyDescent="0.25">
      <c r="A19" s="26" t="s">
        <v>48</v>
      </c>
    </row>
    <row r="20" spans="1:1" x14ac:dyDescent="0.25">
      <c r="A20" s="23" t="s">
        <v>113</v>
      </c>
    </row>
    <row r="21" spans="1:1" x14ac:dyDescent="0.25">
      <c r="A21" s="26" t="s">
        <v>54</v>
      </c>
    </row>
    <row r="22" spans="1:1" x14ac:dyDescent="0.25">
      <c r="A22" s="26" t="s">
        <v>15</v>
      </c>
    </row>
    <row r="23" spans="1:1" x14ac:dyDescent="0.25">
      <c r="A23" s="26" t="s">
        <v>48</v>
      </c>
    </row>
    <row r="24" spans="1:1" x14ac:dyDescent="0.25">
      <c r="A24" s="23" t="s">
        <v>45</v>
      </c>
    </row>
    <row r="25" spans="1:1" x14ac:dyDescent="0.25">
      <c r="A25" s="26" t="s">
        <v>54</v>
      </c>
    </row>
    <row r="26" spans="1:1" x14ac:dyDescent="0.25">
      <c r="A26" s="26" t="s">
        <v>15</v>
      </c>
    </row>
    <row r="27" spans="1:1" x14ac:dyDescent="0.25">
      <c r="A27" s="26" t="s">
        <v>23</v>
      </c>
    </row>
    <row r="28" spans="1:1" x14ac:dyDescent="0.25">
      <c r="A28" s="26" t="s">
        <v>48</v>
      </c>
    </row>
    <row r="29" spans="1:1" x14ac:dyDescent="0.25">
      <c r="A29" s="23" t="s">
        <v>75</v>
      </c>
    </row>
    <row r="30" spans="1:1" x14ac:dyDescent="0.25">
      <c r="A30" s="26" t="s">
        <v>54</v>
      </c>
    </row>
    <row r="31" spans="1:1" x14ac:dyDescent="0.25">
      <c r="A31" s="26" t="s">
        <v>15</v>
      </c>
    </row>
    <row r="32" spans="1:1" x14ac:dyDescent="0.25">
      <c r="A32" s="26" t="s">
        <v>23</v>
      </c>
    </row>
    <row r="33" spans="1:1" x14ac:dyDescent="0.25">
      <c r="A33" s="26" t="s">
        <v>27</v>
      </c>
    </row>
    <row r="34" spans="1:1" x14ac:dyDescent="0.25">
      <c r="A34" s="26" t="s">
        <v>48</v>
      </c>
    </row>
    <row r="35" spans="1:1" x14ac:dyDescent="0.25">
      <c r="A35" s="23" t="s">
        <v>94</v>
      </c>
    </row>
    <row r="36" spans="1:1" x14ac:dyDescent="0.25">
      <c r="A36" s="26" t="s">
        <v>54</v>
      </c>
    </row>
    <row r="37" spans="1:1" x14ac:dyDescent="0.25">
      <c r="A37" s="26" t="s">
        <v>15</v>
      </c>
    </row>
    <row r="38" spans="1:1" x14ac:dyDescent="0.25">
      <c r="A38" s="26" t="s">
        <v>23</v>
      </c>
    </row>
    <row r="39" spans="1:1" x14ac:dyDescent="0.25">
      <c r="A39" s="26" t="s">
        <v>27</v>
      </c>
    </row>
    <row r="40" spans="1:1" x14ac:dyDescent="0.25">
      <c r="A40" s="26" t="s">
        <v>48</v>
      </c>
    </row>
    <row r="41" spans="1:1" x14ac:dyDescent="0.25">
      <c r="A41" s="23" t="s">
        <v>80</v>
      </c>
    </row>
    <row r="42" spans="1:1" x14ac:dyDescent="0.25">
      <c r="A42" s="26" t="s">
        <v>54</v>
      </c>
    </row>
    <row r="43" spans="1:1" x14ac:dyDescent="0.25">
      <c r="A43" s="26" t="s">
        <v>15</v>
      </c>
    </row>
    <row r="44" spans="1:1" x14ac:dyDescent="0.25">
      <c r="A44" s="26" t="s">
        <v>23</v>
      </c>
    </row>
    <row r="45" spans="1:1" x14ac:dyDescent="0.25">
      <c r="A45" s="26" t="s">
        <v>27</v>
      </c>
    </row>
    <row r="46" spans="1:1" x14ac:dyDescent="0.25">
      <c r="A46" s="26" t="s">
        <v>48</v>
      </c>
    </row>
    <row r="47" spans="1:1" x14ac:dyDescent="0.25">
      <c r="A47" s="23" t="s">
        <v>132</v>
      </c>
    </row>
    <row r="48" spans="1:1" x14ac:dyDescent="0.25">
      <c r="A48" s="26" t="s">
        <v>54</v>
      </c>
    </row>
    <row r="49" spans="1:1" x14ac:dyDescent="0.25">
      <c r="A49" s="26" t="s">
        <v>15</v>
      </c>
    </row>
    <row r="50" spans="1:1" x14ac:dyDescent="0.25">
      <c r="A50" s="26" t="s">
        <v>23</v>
      </c>
    </row>
    <row r="51" spans="1:1" x14ac:dyDescent="0.25">
      <c r="A51" s="26" t="s">
        <v>27</v>
      </c>
    </row>
    <row r="52" spans="1:1" x14ac:dyDescent="0.25">
      <c r="A52" s="26" t="s">
        <v>48</v>
      </c>
    </row>
    <row r="53" spans="1:1" x14ac:dyDescent="0.25">
      <c r="A53" s="23" t="s">
        <v>110</v>
      </c>
    </row>
    <row r="54" spans="1:1" x14ac:dyDescent="0.25">
      <c r="A54" s="26" t="s">
        <v>54</v>
      </c>
    </row>
    <row r="55" spans="1:1" x14ac:dyDescent="0.25">
      <c r="A55" s="26" t="s">
        <v>15</v>
      </c>
    </row>
    <row r="56" spans="1:1" x14ac:dyDescent="0.25">
      <c r="A56" s="26" t="s">
        <v>23</v>
      </c>
    </row>
    <row r="57" spans="1:1" x14ac:dyDescent="0.25">
      <c r="A57" s="26" t="s">
        <v>27</v>
      </c>
    </row>
    <row r="58" spans="1:1" x14ac:dyDescent="0.25">
      <c r="A58" s="26" t="s">
        <v>48</v>
      </c>
    </row>
    <row r="59" spans="1:1" x14ac:dyDescent="0.25">
      <c r="A59" s="23" t="s">
        <v>101</v>
      </c>
    </row>
    <row r="60" spans="1:1" x14ac:dyDescent="0.25">
      <c r="A60" s="26" t="s">
        <v>54</v>
      </c>
    </row>
    <row r="61" spans="1:1" x14ac:dyDescent="0.25">
      <c r="A61" s="26" t="s">
        <v>23</v>
      </c>
    </row>
    <row r="62" spans="1:1" x14ac:dyDescent="0.25">
      <c r="A62" s="26" t="s">
        <v>27</v>
      </c>
    </row>
    <row r="63" spans="1:1" x14ac:dyDescent="0.25">
      <c r="A63" s="26" t="s">
        <v>48</v>
      </c>
    </row>
    <row r="64" spans="1:1" x14ac:dyDescent="0.25">
      <c r="A64" s="23" t="s">
        <v>158</v>
      </c>
    </row>
    <row r="65" spans="1:1" x14ac:dyDescent="0.25">
      <c r="A65" s="26" t="s">
        <v>15</v>
      </c>
    </row>
    <row r="66" spans="1:1" x14ac:dyDescent="0.25">
      <c r="A66" s="26" t="s">
        <v>23</v>
      </c>
    </row>
    <row r="67" spans="1:1" x14ac:dyDescent="0.25">
      <c r="A67" s="26" t="s">
        <v>48</v>
      </c>
    </row>
    <row r="68" spans="1:1" x14ac:dyDescent="0.25">
      <c r="A68" s="23" t="s">
        <v>120</v>
      </c>
    </row>
    <row r="69" spans="1:1" x14ac:dyDescent="0.25">
      <c r="A69" s="26" t="s">
        <v>54</v>
      </c>
    </row>
    <row r="70" spans="1:1" x14ac:dyDescent="0.25">
      <c r="A70" s="26" t="s">
        <v>15</v>
      </c>
    </row>
    <row r="71" spans="1:1" x14ac:dyDescent="0.25">
      <c r="A71" s="26" t="s">
        <v>23</v>
      </c>
    </row>
    <row r="72" spans="1:1" x14ac:dyDescent="0.25">
      <c r="A72" s="26" t="s">
        <v>27</v>
      </c>
    </row>
    <row r="73" spans="1:1" x14ac:dyDescent="0.25">
      <c r="A73" s="26" t="s">
        <v>48</v>
      </c>
    </row>
    <row r="74" spans="1:1" x14ac:dyDescent="0.25">
      <c r="A74" s="23" t="s">
        <v>70</v>
      </c>
    </row>
    <row r="75" spans="1:1" x14ac:dyDescent="0.25">
      <c r="A75" s="26" t="s">
        <v>54</v>
      </c>
    </row>
    <row r="76" spans="1:1" x14ac:dyDescent="0.25">
      <c r="A76" s="26" t="s">
        <v>15</v>
      </c>
    </row>
    <row r="77" spans="1:1" x14ac:dyDescent="0.25">
      <c r="A77" s="26" t="s">
        <v>23</v>
      </c>
    </row>
    <row r="78" spans="1:1" x14ac:dyDescent="0.25">
      <c r="A78" s="26" t="s">
        <v>27</v>
      </c>
    </row>
    <row r="79" spans="1:1" x14ac:dyDescent="0.25">
      <c r="A79" s="26" t="s">
        <v>48</v>
      </c>
    </row>
    <row r="80" spans="1:1" x14ac:dyDescent="0.25">
      <c r="A80" s="23" t="s">
        <v>96</v>
      </c>
    </row>
    <row r="81" spans="1:1" x14ac:dyDescent="0.25">
      <c r="A81" s="26" t="s">
        <v>54</v>
      </c>
    </row>
    <row r="82" spans="1:1" x14ac:dyDescent="0.25">
      <c r="A82" s="26" t="s">
        <v>15</v>
      </c>
    </row>
    <row r="83" spans="1:1" x14ac:dyDescent="0.25">
      <c r="A83" s="26" t="s">
        <v>23</v>
      </c>
    </row>
    <row r="84" spans="1:1" x14ac:dyDescent="0.25">
      <c r="A84" s="26" t="s">
        <v>27</v>
      </c>
    </row>
    <row r="85" spans="1:1" x14ac:dyDescent="0.25">
      <c r="A85" s="26" t="s">
        <v>48</v>
      </c>
    </row>
    <row r="86" spans="1:1" x14ac:dyDescent="0.25">
      <c r="A86" s="23" t="s">
        <v>107</v>
      </c>
    </row>
    <row r="87" spans="1:1" x14ac:dyDescent="0.25">
      <c r="A87" s="26" t="s">
        <v>54</v>
      </c>
    </row>
    <row r="88" spans="1:1" x14ac:dyDescent="0.25">
      <c r="A88" s="26" t="s">
        <v>15</v>
      </c>
    </row>
    <row r="89" spans="1:1" x14ac:dyDescent="0.25">
      <c r="A89" s="26" t="s">
        <v>23</v>
      </c>
    </row>
    <row r="90" spans="1:1" x14ac:dyDescent="0.25">
      <c r="A90" s="26" t="s">
        <v>27</v>
      </c>
    </row>
    <row r="91" spans="1:1" x14ac:dyDescent="0.25">
      <c r="A91" s="26" t="s">
        <v>48</v>
      </c>
    </row>
    <row r="92" spans="1:1" x14ac:dyDescent="0.25">
      <c r="A92" s="23" t="s">
        <v>99</v>
      </c>
    </row>
    <row r="93" spans="1:1" x14ac:dyDescent="0.25">
      <c r="A93" s="26" t="s">
        <v>54</v>
      </c>
    </row>
    <row r="94" spans="1:1" x14ac:dyDescent="0.25">
      <c r="A94" s="26" t="s">
        <v>15</v>
      </c>
    </row>
    <row r="95" spans="1:1" x14ac:dyDescent="0.25">
      <c r="A95" s="26" t="s">
        <v>23</v>
      </c>
    </row>
    <row r="96" spans="1:1" x14ac:dyDescent="0.25">
      <c r="A96" s="26" t="s">
        <v>48</v>
      </c>
    </row>
    <row r="97" spans="1:1" x14ac:dyDescent="0.25">
      <c r="A97" s="23" t="s">
        <v>85</v>
      </c>
    </row>
    <row r="98" spans="1:1" x14ac:dyDescent="0.25">
      <c r="A98" s="26" t="s">
        <v>15</v>
      </c>
    </row>
    <row r="99" spans="1:1" x14ac:dyDescent="0.25">
      <c r="A99" s="26" t="s">
        <v>23</v>
      </c>
    </row>
    <row r="100" spans="1:1" x14ac:dyDescent="0.25">
      <c r="A100" s="26" t="s">
        <v>27</v>
      </c>
    </row>
    <row r="101" spans="1:1" x14ac:dyDescent="0.25">
      <c r="A101" s="26" t="s">
        <v>48</v>
      </c>
    </row>
    <row r="102" spans="1:1" x14ac:dyDescent="0.25">
      <c r="A102" s="23" t="s">
        <v>77</v>
      </c>
    </row>
    <row r="103" spans="1:1" x14ac:dyDescent="0.25">
      <c r="A103" s="26" t="s">
        <v>54</v>
      </c>
    </row>
    <row r="104" spans="1:1" x14ac:dyDescent="0.25">
      <c r="A104" s="26" t="s">
        <v>15</v>
      </c>
    </row>
    <row r="105" spans="1:1" x14ac:dyDescent="0.25">
      <c r="A105" s="26" t="s">
        <v>23</v>
      </c>
    </row>
    <row r="106" spans="1:1" x14ac:dyDescent="0.25">
      <c r="A106" s="26" t="s">
        <v>27</v>
      </c>
    </row>
    <row r="107" spans="1:1" x14ac:dyDescent="0.25">
      <c r="A107" s="26" t="s">
        <v>48</v>
      </c>
    </row>
    <row r="108" spans="1:1" x14ac:dyDescent="0.25">
      <c r="A108" s="23" t="s">
        <v>112</v>
      </c>
    </row>
    <row r="109" spans="1:1" x14ac:dyDescent="0.25">
      <c r="A109" s="26" t="s">
        <v>54</v>
      </c>
    </row>
    <row r="110" spans="1:1" x14ac:dyDescent="0.25">
      <c r="A110" s="26" t="s">
        <v>23</v>
      </c>
    </row>
    <row r="111" spans="1:1" x14ac:dyDescent="0.25">
      <c r="A111" s="26" t="s">
        <v>27</v>
      </c>
    </row>
    <row r="112" spans="1:1" x14ac:dyDescent="0.25">
      <c r="A112" s="26" t="s">
        <v>48</v>
      </c>
    </row>
    <row r="113" spans="1:1" x14ac:dyDescent="0.25">
      <c r="A113" s="23" t="s">
        <v>14</v>
      </c>
    </row>
    <row r="114" spans="1:1" x14ac:dyDescent="0.25">
      <c r="A114" s="26" t="s">
        <v>54</v>
      </c>
    </row>
    <row r="115" spans="1:1" x14ac:dyDescent="0.25">
      <c r="A115" s="26" t="s">
        <v>15</v>
      </c>
    </row>
    <row r="116" spans="1:1" x14ac:dyDescent="0.25">
      <c r="A116" s="26" t="s">
        <v>23</v>
      </c>
    </row>
    <row r="117" spans="1:1" x14ac:dyDescent="0.25">
      <c r="A117" s="26" t="s">
        <v>48</v>
      </c>
    </row>
    <row r="118" spans="1:1" x14ac:dyDescent="0.25">
      <c r="A118" s="23" t="s">
        <v>103</v>
      </c>
    </row>
    <row r="119" spans="1:1" x14ac:dyDescent="0.25">
      <c r="A119" s="26" t="s">
        <v>23</v>
      </c>
    </row>
    <row r="120" spans="1:1" x14ac:dyDescent="0.25">
      <c r="A120" s="26" t="s">
        <v>27</v>
      </c>
    </row>
    <row r="121" spans="1:1" x14ac:dyDescent="0.25">
      <c r="A121" s="26" t="s">
        <v>48</v>
      </c>
    </row>
    <row r="122" spans="1:1" x14ac:dyDescent="0.25">
      <c r="A122" s="23" t="s">
        <v>100</v>
      </c>
    </row>
    <row r="123" spans="1:1" x14ac:dyDescent="0.25">
      <c r="A123" s="26" t="s">
        <v>15</v>
      </c>
    </row>
    <row r="124" spans="1:1" x14ac:dyDescent="0.25">
      <c r="A124" s="26" t="s">
        <v>23</v>
      </c>
    </row>
    <row r="125" spans="1:1" x14ac:dyDescent="0.25">
      <c r="A125" s="26" t="s">
        <v>27</v>
      </c>
    </row>
    <row r="126" spans="1:1" x14ac:dyDescent="0.25">
      <c r="A126" s="26" t="s">
        <v>48</v>
      </c>
    </row>
    <row r="127" spans="1:1" x14ac:dyDescent="0.25">
      <c r="A127" s="23" t="s">
        <v>22</v>
      </c>
    </row>
    <row r="128" spans="1:1" x14ac:dyDescent="0.25">
      <c r="A128" s="26" t="s">
        <v>15</v>
      </c>
    </row>
    <row r="129" spans="1:1" x14ac:dyDescent="0.25">
      <c r="A129" s="26" t="s">
        <v>23</v>
      </c>
    </row>
    <row r="130" spans="1:1" x14ac:dyDescent="0.25">
      <c r="A130" s="26" t="s">
        <v>27</v>
      </c>
    </row>
    <row r="131" spans="1:1" x14ac:dyDescent="0.25">
      <c r="A131" s="26" t="s">
        <v>48</v>
      </c>
    </row>
    <row r="132" spans="1:1" x14ac:dyDescent="0.25">
      <c r="A132" s="23" t="s">
        <v>115</v>
      </c>
    </row>
    <row r="133" spans="1:1" x14ac:dyDescent="0.25">
      <c r="A133" s="26" t="s">
        <v>54</v>
      </c>
    </row>
    <row r="134" spans="1:1" x14ac:dyDescent="0.25">
      <c r="A134" s="26" t="s">
        <v>23</v>
      </c>
    </row>
    <row r="135" spans="1:1" x14ac:dyDescent="0.25">
      <c r="A135" s="26" t="s">
        <v>27</v>
      </c>
    </row>
    <row r="136" spans="1:1" x14ac:dyDescent="0.25">
      <c r="A136" s="23" t="s">
        <v>67</v>
      </c>
    </row>
    <row r="137" spans="1:1" x14ac:dyDescent="0.25">
      <c r="A137" s="26" t="s">
        <v>54</v>
      </c>
    </row>
    <row r="138" spans="1:1" x14ac:dyDescent="0.25">
      <c r="A138" s="26" t="s">
        <v>23</v>
      </c>
    </row>
    <row r="139" spans="1:1" x14ac:dyDescent="0.25">
      <c r="A139" s="26" t="s">
        <v>27</v>
      </c>
    </row>
    <row r="140" spans="1:1" x14ac:dyDescent="0.25">
      <c r="A140" s="26" t="s">
        <v>48</v>
      </c>
    </row>
    <row r="141" spans="1:1" x14ac:dyDescent="0.25">
      <c r="A141" s="23" t="s">
        <v>156</v>
      </c>
    </row>
    <row r="142" spans="1:1" x14ac:dyDescent="0.25">
      <c r="A142" s="26" t="s">
        <v>54</v>
      </c>
    </row>
    <row r="143" spans="1:1" x14ac:dyDescent="0.25">
      <c r="A143" s="26" t="s">
        <v>15</v>
      </c>
    </row>
    <row r="144" spans="1:1" x14ac:dyDescent="0.25">
      <c r="A144" s="26" t="s">
        <v>23</v>
      </c>
    </row>
    <row r="145" spans="1:1" x14ac:dyDescent="0.25">
      <c r="A145" s="26" t="s">
        <v>27</v>
      </c>
    </row>
    <row r="146" spans="1:1" x14ac:dyDescent="0.25">
      <c r="A146" s="26" t="s">
        <v>48</v>
      </c>
    </row>
    <row r="147" spans="1:1" x14ac:dyDescent="0.25">
      <c r="A147" s="23" t="s">
        <v>91</v>
      </c>
    </row>
    <row r="148" spans="1:1" x14ac:dyDescent="0.25">
      <c r="A148" s="26" t="s">
        <v>54</v>
      </c>
    </row>
    <row r="149" spans="1:1" x14ac:dyDescent="0.25">
      <c r="A149" s="26" t="s">
        <v>15</v>
      </c>
    </row>
    <row r="150" spans="1:1" x14ac:dyDescent="0.25">
      <c r="A150" s="26" t="s">
        <v>23</v>
      </c>
    </row>
    <row r="151" spans="1:1" x14ac:dyDescent="0.25">
      <c r="A151" s="26" t="s">
        <v>27</v>
      </c>
    </row>
    <row r="152" spans="1:1" x14ac:dyDescent="0.25">
      <c r="A152" s="26" t="s">
        <v>48</v>
      </c>
    </row>
    <row r="153" spans="1:1" x14ac:dyDescent="0.25">
      <c r="A153" s="23" t="s">
        <v>116</v>
      </c>
    </row>
    <row r="154" spans="1:1" x14ac:dyDescent="0.25">
      <c r="A154" s="26" t="s">
        <v>54</v>
      </c>
    </row>
    <row r="155" spans="1:1" x14ac:dyDescent="0.25">
      <c r="A155" s="26" t="s">
        <v>15</v>
      </c>
    </row>
    <row r="156" spans="1:1" x14ac:dyDescent="0.25">
      <c r="A156" s="26" t="s">
        <v>23</v>
      </c>
    </row>
    <row r="157" spans="1:1" x14ac:dyDescent="0.25">
      <c r="A157" s="26" t="s">
        <v>27</v>
      </c>
    </row>
    <row r="158" spans="1:1" x14ac:dyDescent="0.25">
      <c r="A158" s="26" t="s">
        <v>48</v>
      </c>
    </row>
    <row r="159" spans="1:1" x14ac:dyDescent="0.25">
      <c r="A159" s="23" t="s">
        <v>53</v>
      </c>
    </row>
    <row r="160" spans="1:1" x14ac:dyDescent="0.25">
      <c r="A160" s="26" t="s">
        <v>54</v>
      </c>
    </row>
    <row r="161" spans="1:1" x14ac:dyDescent="0.25">
      <c r="A161" s="26" t="s">
        <v>15</v>
      </c>
    </row>
    <row r="162" spans="1:1" x14ac:dyDescent="0.25">
      <c r="A162" s="26" t="s">
        <v>23</v>
      </c>
    </row>
    <row r="163" spans="1:1" x14ac:dyDescent="0.25">
      <c r="A163" s="26" t="s">
        <v>48</v>
      </c>
    </row>
    <row r="164" spans="1:1" x14ac:dyDescent="0.25">
      <c r="A164" s="23" t="s">
        <v>63</v>
      </c>
    </row>
    <row r="165" spans="1:1" x14ac:dyDescent="0.25">
      <c r="A165" s="26" t="s">
        <v>54</v>
      </c>
    </row>
    <row r="166" spans="1:1" x14ac:dyDescent="0.25">
      <c r="A166" s="26" t="s">
        <v>15</v>
      </c>
    </row>
    <row r="167" spans="1:1" x14ac:dyDescent="0.25">
      <c r="A167" s="26" t="s">
        <v>23</v>
      </c>
    </row>
    <row r="168" spans="1:1" x14ac:dyDescent="0.25">
      <c r="A168" s="23" t="s">
        <v>129</v>
      </c>
    </row>
    <row r="169" spans="1:1" x14ac:dyDescent="0.25">
      <c r="A169" s="26" t="s">
        <v>54</v>
      </c>
    </row>
    <row r="170" spans="1:1" x14ac:dyDescent="0.25">
      <c r="A170" s="26" t="s">
        <v>23</v>
      </c>
    </row>
    <row r="171" spans="1:1" x14ac:dyDescent="0.25">
      <c r="A171" s="26" t="s">
        <v>27</v>
      </c>
    </row>
    <row r="172" spans="1:1" x14ac:dyDescent="0.25">
      <c r="A172" s="26" t="s">
        <v>48</v>
      </c>
    </row>
    <row r="173" spans="1:1" x14ac:dyDescent="0.25">
      <c r="A173" s="23" t="s">
        <v>105</v>
      </c>
    </row>
    <row r="174" spans="1:1" x14ac:dyDescent="0.25">
      <c r="A174" s="26" t="s">
        <v>54</v>
      </c>
    </row>
    <row r="175" spans="1:1" x14ac:dyDescent="0.25">
      <c r="A175" s="26" t="s">
        <v>15</v>
      </c>
    </row>
    <row r="176" spans="1:1" x14ac:dyDescent="0.25">
      <c r="A176" s="26" t="s">
        <v>23</v>
      </c>
    </row>
    <row r="177" spans="1:1" x14ac:dyDescent="0.25">
      <c r="A177" s="26" t="s">
        <v>48</v>
      </c>
    </row>
    <row r="178" spans="1:1" x14ac:dyDescent="0.25">
      <c r="A178" s="23" t="s">
        <v>18</v>
      </c>
    </row>
    <row r="179" spans="1:1" x14ac:dyDescent="0.25">
      <c r="A179" s="26" t="s">
        <v>54</v>
      </c>
    </row>
    <row r="180" spans="1:1" x14ac:dyDescent="0.25">
      <c r="A180" s="26" t="s">
        <v>15</v>
      </c>
    </row>
    <row r="181" spans="1:1" x14ac:dyDescent="0.25">
      <c r="A181" s="26" t="s">
        <v>23</v>
      </c>
    </row>
    <row r="182" spans="1:1" x14ac:dyDescent="0.25">
      <c r="A182" s="26" t="s">
        <v>27</v>
      </c>
    </row>
    <row r="183" spans="1:1" x14ac:dyDescent="0.25">
      <c r="A183" s="26" t="s">
        <v>48</v>
      </c>
    </row>
    <row r="184" spans="1:1" x14ac:dyDescent="0.25">
      <c r="A184" s="23" t="s">
        <v>123</v>
      </c>
    </row>
    <row r="185" spans="1:1" x14ac:dyDescent="0.25">
      <c r="A185" s="26" t="s">
        <v>54</v>
      </c>
    </row>
    <row r="186" spans="1:1" x14ac:dyDescent="0.25">
      <c r="A186" s="26" t="s">
        <v>15</v>
      </c>
    </row>
    <row r="187" spans="1:1" x14ac:dyDescent="0.25">
      <c r="A187" s="26" t="s">
        <v>27</v>
      </c>
    </row>
    <row r="188" spans="1:1" x14ac:dyDescent="0.25">
      <c r="A188" s="26" t="s">
        <v>48</v>
      </c>
    </row>
    <row r="189" spans="1:1" x14ac:dyDescent="0.25">
      <c r="A189" s="23" t="s">
        <v>143</v>
      </c>
    </row>
    <row r="190" spans="1:1" x14ac:dyDescent="0.25">
      <c r="A190" s="26" t="s">
        <v>54</v>
      </c>
    </row>
    <row r="191" spans="1:1" x14ac:dyDescent="0.25">
      <c r="A191" s="26" t="s">
        <v>23</v>
      </c>
    </row>
    <row r="192" spans="1:1" x14ac:dyDescent="0.25">
      <c r="A192" s="26" t="s">
        <v>27</v>
      </c>
    </row>
    <row r="193" spans="1:1" x14ac:dyDescent="0.25">
      <c r="A193" s="26" t="s">
        <v>48</v>
      </c>
    </row>
    <row r="194" spans="1:1" x14ac:dyDescent="0.25">
      <c r="A194" s="23" t="s">
        <v>40</v>
      </c>
    </row>
    <row r="195" spans="1:1" x14ac:dyDescent="0.25">
      <c r="A195" s="26" t="s">
        <v>54</v>
      </c>
    </row>
    <row r="196" spans="1:1" x14ac:dyDescent="0.25">
      <c r="A196" s="26" t="s">
        <v>15</v>
      </c>
    </row>
    <row r="197" spans="1:1" x14ac:dyDescent="0.25">
      <c r="A197" s="26" t="s">
        <v>23</v>
      </c>
    </row>
    <row r="198" spans="1:1" x14ac:dyDescent="0.25">
      <c r="A198" s="26" t="s">
        <v>27</v>
      </c>
    </row>
    <row r="199" spans="1:1" x14ac:dyDescent="0.25">
      <c r="A199" s="26" t="s">
        <v>48</v>
      </c>
    </row>
    <row r="200" spans="1:1" x14ac:dyDescent="0.25">
      <c r="A200" s="23" t="s">
        <v>146</v>
      </c>
    </row>
    <row r="201" spans="1:1" x14ac:dyDescent="0.25">
      <c r="A201" s="26" t="s">
        <v>54</v>
      </c>
    </row>
    <row r="202" spans="1:1" x14ac:dyDescent="0.25">
      <c r="A202" s="26" t="s">
        <v>15</v>
      </c>
    </row>
    <row r="203" spans="1:1" x14ac:dyDescent="0.25">
      <c r="A203" s="26" t="s">
        <v>23</v>
      </c>
    </row>
    <row r="204" spans="1:1" x14ac:dyDescent="0.25">
      <c r="A204" s="26" t="s">
        <v>27</v>
      </c>
    </row>
    <row r="205" spans="1:1" x14ac:dyDescent="0.25">
      <c r="A205" s="26" t="s">
        <v>48</v>
      </c>
    </row>
    <row r="206" spans="1:1" x14ac:dyDescent="0.25">
      <c r="A206" s="23" t="s">
        <v>59</v>
      </c>
    </row>
    <row r="207" spans="1:1" x14ac:dyDescent="0.25">
      <c r="A207" s="26" t="s">
        <v>54</v>
      </c>
    </row>
    <row r="208" spans="1:1" x14ac:dyDescent="0.25">
      <c r="A208" s="26" t="s">
        <v>15</v>
      </c>
    </row>
    <row r="209" spans="1:1" x14ac:dyDescent="0.25">
      <c r="A209" s="26" t="s">
        <v>23</v>
      </c>
    </row>
    <row r="210" spans="1:1" x14ac:dyDescent="0.25">
      <c r="A210" s="26" t="s">
        <v>27</v>
      </c>
    </row>
    <row r="211" spans="1:1" x14ac:dyDescent="0.25">
      <c r="A211" s="23" t="s">
        <v>76</v>
      </c>
    </row>
    <row r="212" spans="1:1" x14ac:dyDescent="0.25">
      <c r="A212" s="26" t="s">
        <v>54</v>
      </c>
    </row>
    <row r="213" spans="1:1" x14ac:dyDescent="0.25">
      <c r="A213" s="26" t="s">
        <v>15</v>
      </c>
    </row>
    <row r="214" spans="1:1" x14ac:dyDescent="0.25">
      <c r="A214" s="26" t="s">
        <v>23</v>
      </c>
    </row>
    <row r="215" spans="1:1" x14ac:dyDescent="0.25">
      <c r="A215" s="26" t="s">
        <v>27</v>
      </c>
    </row>
    <row r="216" spans="1:1" x14ac:dyDescent="0.25">
      <c r="A216" s="26" t="s">
        <v>48</v>
      </c>
    </row>
    <row r="217" spans="1:1" x14ac:dyDescent="0.25">
      <c r="A217" s="23" t="s">
        <v>109</v>
      </c>
    </row>
    <row r="218" spans="1:1" x14ac:dyDescent="0.25">
      <c r="A218" s="26" t="s">
        <v>54</v>
      </c>
    </row>
    <row r="219" spans="1:1" x14ac:dyDescent="0.25">
      <c r="A219" s="26" t="s">
        <v>23</v>
      </c>
    </row>
    <row r="220" spans="1:1" x14ac:dyDescent="0.25">
      <c r="A220" s="26" t="s">
        <v>27</v>
      </c>
    </row>
    <row r="221" spans="1:1" x14ac:dyDescent="0.25">
      <c r="A221" s="23" t="s">
        <v>26</v>
      </c>
    </row>
    <row r="222" spans="1:1" x14ac:dyDescent="0.25">
      <c r="A222" s="26" t="s">
        <v>54</v>
      </c>
    </row>
    <row r="223" spans="1:1" x14ac:dyDescent="0.25">
      <c r="A223" s="26" t="s">
        <v>15</v>
      </c>
    </row>
    <row r="224" spans="1:1" x14ac:dyDescent="0.25">
      <c r="A224" s="26" t="s">
        <v>23</v>
      </c>
    </row>
    <row r="225" spans="1:1" x14ac:dyDescent="0.25">
      <c r="A225" s="26" t="s">
        <v>27</v>
      </c>
    </row>
    <row r="226" spans="1:1" x14ac:dyDescent="0.25">
      <c r="A226" s="23" t="s">
        <v>78</v>
      </c>
    </row>
    <row r="227" spans="1:1" x14ac:dyDescent="0.25">
      <c r="A227" s="26" t="s">
        <v>54</v>
      </c>
    </row>
    <row r="228" spans="1:1" x14ac:dyDescent="0.25">
      <c r="A228" s="26" t="s">
        <v>15</v>
      </c>
    </row>
    <row r="229" spans="1:1" x14ac:dyDescent="0.25">
      <c r="A229" s="26" t="s">
        <v>23</v>
      </c>
    </row>
    <row r="230" spans="1:1" x14ac:dyDescent="0.25">
      <c r="A230" s="26" t="s">
        <v>27</v>
      </c>
    </row>
    <row r="231" spans="1:1" x14ac:dyDescent="0.25">
      <c r="A231" s="26" t="s">
        <v>48</v>
      </c>
    </row>
    <row r="232" spans="1:1" x14ac:dyDescent="0.25">
      <c r="A232" s="23" t="s">
        <v>57</v>
      </c>
    </row>
    <row r="233" spans="1:1" x14ac:dyDescent="0.25">
      <c r="A233" s="26" t="s">
        <v>54</v>
      </c>
    </row>
    <row r="234" spans="1:1" x14ac:dyDescent="0.25">
      <c r="A234" s="26" t="s">
        <v>15</v>
      </c>
    </row>
    <row r="235" spans="1:1" x14ac:dyDescent="0.25">
      <c r="A235" s="26" t="s">
        <v>23</v>
      </c>
    </row>
    <row r="236" spans="1:1" x14ac:dyDescent="0.25">
      <c r="A236" s="26" t="s">
        <v>27</v>
      </c>
    </row>
    <row r="237" spans="1:1" x14ac:dyDescent="0.25">
      <c r="A237" s="26" t="s">
        <v>48</v>
      </c>
    </row>
    <row r="238" spans="1:1" x14ac:dyDescent="0.25">
      <c r="A238" s="23" t="s">
        <v>47</v>
      </c>
    </row>
    <row r="239" spans="1:1" x14ac:dyDescent="0.25">
      <c r="A239" s="26" t="s">
        <v>54</v>
      </c>
    </row>
    <row r="240" spans="1:1" x14ac:dyDescent="0.25">
      <c r="A240" s="26" t="s">
        <v>15</v>
      </c>
    </row>
    <row r="241" spans="1:1" x14ac:dyDescent="0.25">
      <c r="A241" s="26" t="s">
        <v>23</v>
      </c>
    </row>
    <row r="242" spans="1:1" x14ac:dyDescent="0.25">
      <c r="A242" s="26" t="s">
        <v>27</v>
      </c>
    </row>
    <row r="243" spans="1:1" x14ac:dyDescent="0.25">
      <c r="A243" s="26" t="s">
        <v>48</v>
      </c>
    </row>
    <row r="244" spans="1:1" x14ac:dyDescent="0.25">
      <c r="A244" s="23" t="s">
        <v>37</v>
      </c>
    </row>
    <row r="245" spans="1:1" x14ac:dyDescent="0.25">
      <c r="A245" s="26" t="s">
        <v>54</v>
      </c>
    </row>
    <row r="246" spans="1:1" x14ac:dyDescent="0.25">
      <c r="A246" s="26" t="s">
        <v>15</v>
      </c>
    </row>
    <row r="247" spans="1:1" x14ac:dyDescent="0.25">
      <c r="A247" s="26" t="s">
        <v>27</v>
      </c>
    </row>
    <row r="248" spans="1:1" x14ac:dyDescent="0.25">
      <c r="A248" s="26" t="s">
        <v>48</v>
      </c>
    </row>
    <row r="249" spans="1:1" x14ac:dyDescent="0.25">
      <c r="A249" s="23" t="s">
        <v>50</v>
      </c>
    </row>
    <row r="250" spans="1:1" x14ac:dyDescent="0.25">
      <c r="A250" s="26" t="s">
        <v>54</v>
      </c>
    </row>
    <row r="251" spans="1:1" x14ac:dyDescent="0.25">
      <c r="A251" s="26" t="s">
        <v>15</v>
      </c>
    </row>
    <row r="252" spans="1:1" x14ac:dyDescent="0.25">
      <c r="A252" s="26" t="s">
        <v>23</v>
      </c>
    </row>
    <row r="253" spans="1:1" x14ac:dyDescent="0.25">
      <c r="A253" s="26" t="s">
        <v>27</v>
      </c>
    </row>
    <row r="254" spans="1:1" x14ac:dyDescent="0.25">
      <c r="A254" s="26" t="s">
        <v>48</v>
      </c>
    </row>
    <row r="255" spans="1:1" x14ac:dyDescent="0.25">
      <c r="A255" s="23" t="s">
        <v>93</v>
      </c>
    </row>
    <row r="256" spans="1:1" x14ac:dyDescent="0.25">
      <c r="A256" s="26" t="s">
        <v>54</v>
      </c>
    </row>
    <row r="257" spans="1:1" x14ac:dyDescent="0.25">
      <c r="A257" s="26" t="s">
        <v>15</v>
      </c>
    </row>
    <row r="258" spans="1:1" x14ac:dyDescent="0.25">
      <c r="A258" s="26" t="s">
        <v>23</v>
      </c>
    </row>
    <row r="259" spans="1:1" x14ac:dyDescent="0.25">
      <c r="A259" s="26" t="s">
        <v>27</v>
      </c>
    </row>
    <row r="260" spans="1:1" x14ac:dyDescent="0.25">
      <c r="A260" s="26" t="s">
        <v>48</v>
      </c>
    </row>
    <row r="261" spans="1:1" x14ac:dyDescent="0.25">
      <c r="A261" s="23" t="s">
        <v>82</v>
      </c>
    </row>
    <row r="262" spans="1:1" x14ac:dyDescent="0.25">
      <c r="A262" s="26" t="s">
        <v>54</v>
      </c>
    </row>
    <row r="263" spans="1:1" x14ac:dyDescent="0.25">
      <c r="A263" s="26" t="s">
        <v>15</v>
      </c>
    </row>
    <row r="264" spans="1:1" x14ac:dyDescent="0.25">
      <c r="A264" s="26" t="s">
        <v>23</v>
      </c>
    </row>
    <row r="265" spans="1:1" x14ac:dyDescent="0.25">
      <c r="A265" s="26" t="s">
        <v>27</v>
      </c>
    </row>
    <row r="266" spans="1:1" x14ac:dyDescent="0.25">
      <c r="A266" s="23" t="s">
        <v>122</v>
      </c>
    </row>
    <row r="267" spans="1:1" x14ac:dyDescent="0.25">
      <c r="A267" s="26" t="s">
        <v>54</v>
      </c>
    </row>
    <row r="268" spans="1:1" x14ac:dyDescent="0.25">
      <c r="A268" s="26" t="s">
        <v>15</v>
      </c>
    </row>
    <row r="269" spans="1:1" x14ac:dyDescent="0.25">
      <c r="A269" s="26" t="s">
        <v>23</v>
      </c>
    </row>
    <row r="270" spans="1:1" x14ac:dyDescent="0.25">
      <c r="A270" s="26" t="s">
        <v>27</v>
      </c>
    </row>
    <row r="271" spans="1:1" x14ac:dyDescent="0.25">
      <c r="A271" s="26" t="s">
        <v>48</v>
      </c>
    </row>
    <row r="272" spans="1:1" x14ac:dyDescent="0.25">
      <c r="A272" s="23" t="s">
        <v>697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06D88-3E32-4C35-838F-9971A957BC93}">
  <dimension ref="A1:Z577"/>
  <sheetViews>
    <sheetView tabSelected="1" topLeftCell="Q1" zoomScale="109" zoomScaleNormal="115" workbookViewId="0">
      <selection activeCell="T4" sqref="T4"/>
    </sheetView>
  </sheetViews>
  <sheetFormatPr defaultRowHeight="15" x14ac:dyDescent="0.25"/>
  <cols>
    <col min="1" max="1" width="11.5703125" bestFit="1" customWidth="1"/>
    <col min="2" max="2" width="20.7109375" customWidth="1"/>
    <col min="3" max="3" width="15.28515625" bestFit="1" customWidth="1"/>
    <col min="4" max="4" width="14.85546875" style="4" bestFit="1" customWidth="1"/>
    <col min="5" max="5" width="25.28515625" bestFit="1" customWidth="1"/>
    <col min="6" max="6" width="13.5703125" bestFit="1" customWidth="1"/>
    <col min="7" max="7" width="26" bestFit="1" customWidth="1"/>
    <col min="8" max="8" width="14" bestFit="1" customWidth="1"/>
    <col min="9" max="9" width="10" bestFit="1" customWidth="1"/>
    <col min="10" max="10" width="11.7109375" bestFit="1" customWidth="1"/>
    <col min="11" max="11" width="20" bestFit="1" customWidth="1"/>
    <col min="12" max="12" width="29.5703125" style="3" bestFit="1" customWidth="1"/>
    <col min="13" max="13" width="29.5703125" style="3" customWidth="1"/>
    <col min="14" max="14" width="11.28515625" bestFit="1" customWidth="1"/>
    <col min="15" max="15" width="11.28515625" customWidth="1"/>
    <col min="16" max="16" width="17.5703125" bestFit="1" customWidth="1"/>
    <col min="17" max="17" width="23.42578125" bestFit="1" customWidth="1"/>
    <col min="18" max="18" width="12.85546875" customWidth="1"/>
    <col min="19" max="19" width="15.7109375" bestFit="1" customWidth="1"/>
    <col min="20" max="20" width="15.7109375" customWidth="1"/>
    <col min="21" max="21" width="16.140625" bestFit="1" customWidth="1"/>
    <col min="22" max="22" width="14.7109375" bestFit="1" customWidth="1"/>
    <col min="23" max="23" width="15.42578125" bestFit="1" customWidth="1"/>
    <col min="24" max="24" width="12.42578125" bestFit="1" customWidth="1"/>
  </cols>
  <sheetData>
    <row r="1" spans="1:26" x14ac:dyDescent="0.25">
      <c r="A1" s="5" t="s">
        <v>0</v>
      </c>
      <c r="B1" s="6" t="s">
        <v>692</v>
      </c>
      <c r="C1" s="6" t="s">
        <v>1</v>
      </c>
      <c r="D1" s="7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8" t="s">
        <v>10</v>
      </c>
      <c r="M1" s="8" t="s">
        <v>698</v>
      </c>
      <c r="N1" s="6" t="s">
        <v>693</v>
      </c>
      <c r="O1" s="6" t="s">
        <v>694</v>
      </c>
      <c r="P1" s="9" t="s">
        <v>695</v>
      </c>
      <c r="Q1" s="21" t="s">
        <v>699</v>
      </c>
      <c r="R1" s="25" t="s">
        <v>706</v>
      </c>
    </row>
    <row r="2" spans="1:26" x14ac:dyDescent="0.25">
      <c r="A2" s="10" t="s">
        <v>64</v>
      </c>
      <c r="B2" s="11" t="str">
        <f>'Electronic Shop Sales Dataset'!$A2&amp;"-"&amp;'Electronic Shop Sales Dataset'!$C2</f>
        <v>P00011-Smartwatch</v>
      </c>
      <c r="C2" s="11" t="s">
        <v>62</v>
      </c>
      <c r="D2" s="12">
        <v>244.74</v>
      </c>
      <c r="E2" s="11">
        <v>2</v>
      </c>
      <c r="F2" s="11" t="s">
        <v>21</v>
      </c>
      <c r="G2" s="11" t="s">
        <v>267</v>
      </c>
      <c r="H2" s="11" t="s">
        <v>87</v>
      </c>
      <c r="I2" s="11">
        <v>33.729759000000001</v>
      </c>
      <c r="J2" s="11">
        <v>-111.43122099999999</v>
      </c>
      <c r="K2" s="11" t="s">
        <v>15</v>
      </c>
      <c r="L2" s="13">
        <v>45292</v>
      </c>
      <c r="M2" s="13">
        <f>DATEVALUE(TEXT(L2,"mm/dd/yy"))</f>
        <v>45292</v>
      </c>
      <c r="N2" s="12">
        <f>'Electronic Shop Sales Dataset'!$D2*'Electronic Shop Sales Dataset'!$E2</f>
        <v>489.48</v>
      </c>
      <c r="O2" s="12" cm="1">
        <f t="array" ref="O2">_xlfn.IFS($K2="Website",$N2*0.05, $K2="Mobile App",$N2*0.05,TRUE,0)</f>
        <v>0</v>
      </c>
      <c r="P2" s="14" t="str">
        <f>IF(COUNTIF($G$2:G577,G2)&gt;1,"Returning","New")</f>
        <v>New</v>
      </c>
      <c r="Q2" s="24" t="str">
        <f>TEXT(M2,"mmmm")</f>
        <v>January</v>
      </c>
      <c r="R2" t="str" cm="1">
        <f t="array" ref="R2:R577">IF(C2:C577="Laptop","Old Stock","New Arrival")</f>
        <v>New Arrival</v>
      </c>
      <c r="S2" t="s">
        <v>700</v>
      </c>
      <c r="T2" t="s">
        <v>702</v>
      </c>
      <c r="U2" t="s">
        <v>701</v>
      </c>
      <c r="V2" t="s">
        <v>703</v>
      </c>
      <c r="W2" t="s">
        <v>704</v>
      </c>
      <c r="X2" t="s">
        <v>705</v>
      </c>
      <c r="Z2">
        <f>COUNTIFS(H2:H577,W3,K2:K577,U3)</f>
        <v>5</v>
      </c>
    </row>
    <row r="3" spans="1:26" x14ac:dyDescent="0.25">
      <c r="A3" s="15" t="s">
        <v>64</v>
      </c>
      <c r="B3" s="16" t="str">
        <f>'Electronic Shop Sales Dataset'!$A3&amp;"-"&amp;'Electronic Shop Sales Dataset'!$C3</f>
        <v>P00011-Scanner</v>
      </c>
      <c r="C3" s="16" t="s">
        <v>71</v>
      </c>
      <c r="D3" s="17">
        <v>270.95999999999998</v>
      </c>
      <c r="E3" s="16">
        <v>5</v>
      </c>
      <c r="F3" s="16" t="s">
        <v>33</v>
      </c>
      <c r="G3" s="16" t="s">
        <v>268</v>
      </c>
      <c r="H3" s="16" t="s">
        <v>120</v>
      </c>
      <c r="I3" s="16">
        <v>40.349457000000001</v>
      </c>
      <c r="J3" s="16">
        <v>-88.986136999999999</v>
      </c>
      <c r="K3" s="16" t="s">
        <v>48</v>
      </c>
      <c r="L3" s="18">
        <v>45293</v>
      </c>
      <c r="M3" s="13">
        <f>DATEVALUE(TEXT(L3,"mm/dd/yy"))</f>
        <v>45293</v>
      </c>
      <c r="N3" s="17">
        <f>'Electronic Shop Sales Dataset'!$D3*'Electronic Shop Sales Dataset'!$E3</f>
        <v>1354.8</v>
      </c>
      <c r="O3" s="12" cm="1">
        <f t="array" ref="O3">_xlfn.IFS($K3="Website",$N3*0.05, $K3="Mobile App",$N3*0.05,TRUE,0)</f>
        <v>67.739999999999995</v>
      </c>
      <c r="P3" s="14" t="str">
        <f>IF(COUNTIF($G$2:G578,G3)&gt;1,"Returning","New")</f>
        <v>New</v>
      </c>
      <c r="Q3" s="24" t="str">
        <f t="shared" ref="Q3:Q66" si="0">TEXT(M3,"mmmm")</f>
        <v>January</v>
      </c>
      <c r="R3" t="str">
        <v>New Arrival</v>
      </c>
      <c r="S3" t="str" cm="1">
        <f t="array" ref="S3:S26">_xlfn.UNIQUE(C2:C577)</f>
        <v>Smartwatch</v>
      </c>
      <c r="T3">
        <f>COUNTA(_xlfn.ANCHORARRAY(S3))</f>
        <v>24</v>
      </c>
      <c r="U3" t="str" cm="1">
        <f t="array" ref="U3:U7">_xlfn.UNIQUE(K2:K577)</f>
        <v>Phone</v>
      </c>
      <c r="V3">
        <f>COUNTA(_xlfn.ANCHORARRAY(U3))</f>
        <v>5</v>
      </c>
      <c r="W3" t="str" cm="1">
        <f t="array" ref="W3:W52">_xlfn.UNIQUE(H2:H577)</f>
        <v>Arizona</v>
      </c>
      <c r="X3">
        <f>COUNTA(_xlfn.ANCHORARRAY(W3))</f>
        <v>50</v>
      </c>
    </row>
    <row r="4" spans="1:26" x14ac:dyDescent="0.25">
      <c r="A4" s="10" t="s">
        <v>64</v>
      </c>
      <c r="B4" s="11" t="str">
        <f>'Electronic Shop Sales Dataset'!$A4&amp;"-"&amp;'Electronic Shop Sales Dataset'!$C4</f>
        <v>P00011-USB Drive</v>
      </c>
      <c r="C4" s="11" t="s">
        <v>36</v>
      </c>
      <c r="D4" s="12">
        <v>5.44</v>
      </c>
      <c r="E4" s="11">
        <v>2</v>
      </c>
      <c r="F4" s="11" t="s">
        <v>43</v>
      </c>
      <c r="G4" s="11" t="s">
        <v>269</v>
      </c>
      <c r="H4" s="11" t="s">
        <v>146</v>
      </c>
      <c r="I4" s="11">
        <v>40.590752000000002</v>
      </c>
      <c r="J4" s="11">
        <v>-77.209755000000001</v>
      </c>
      <c r="K4" s="11" t="s">
        <v>27</v>
      </c>
      <c r="L4" s="13">
        <v>45293</v>
      </c>
      <c r="M4" s="13">
        <f>DATEVALUE(TEXT(L4,"mm/dd/yy"))</f>
        <v>45293</v>
      </c>
      <c r="N4" s="12">
        <f>'Electronic Shop Sales Dataset'!$D4*'Electronic Shop Sales Dataset'!$E4</f>
        <v>10.88</v>
      </c>
      <c r="O4" s="12" cm="1">
        <f t="array" ref="O4">_xlfn.IFS($K4="Website",$N4*0.05, $K4="Mobile App",$N4*0.05,TRUE,0)</f>
        <v>0</v>
      </c>
      <c r="P4" s="14" t="str">
        <f>IF(COUNTIF($G$2:G579,G4)&gt;1,"Returning","New")</f>
        <v>New</v>
      </c>
      <c r="Q4" s="24" t="str">
        <f t="shared" si="0"/>
        <v>January</v>
      </c>
      <c r="R4" t="str">
        <v>New Arrival</v>
      </c>
      <c r="S4" t="str">
        <v>Scanner</v>
      </c>
      <c r="U4" t="str">
        <v>Website</v>
      </c>
      <c r="W4" t="str">
        <v>Illinois</v>
      </c>
    </row>
    <row r="5" spans="1:26" x14ac:dyDescent="0.25">
      <c r="A5" s="15" t="s">
        <v>92</v>
      </c>
      <c r="B5" s="16" t="str">
        <f>'Electronic Shop Sales Dataset'!$A5&amp;"-"&amp;'Electronic Shop Sales Dataset'!$C5</f>
        <v>P00004-Printer</v>
      </c>
      <c r="C5" s="16" t="s">
        <v>52</v>
      </c>
      <c r="D5" s="17">
        <v>279.8</v>
      </c>
      <c r="E5" s="16">
        <v>1</v>
      </c>
      <c r="F5" s="16" t="s">
        <v>43</v>
      </c>
      <c r="G5" s="16" t="s">
        <v>270</v>
      </c>
      <c r="H5" s="16" t="s">
        <v>94</v>
      </c>
      <c r="I5" s="16">
        <v>41.597782000000002</v>
      </c>
      <c r="J5" s="16">
        <v>-72.755370999999997</v>
      </c>
      <c r="K5" s="16" t="s">
        <v>48</v>
      </c>
      <c r="L5" s="18">
        <v>45293</v>
      </c>
      <c r="M5" s="13">
        <f>DATEVALUE(TEXT(L5,"mm/dd/yy"))</f>
        <v>45293</v>
      </c>
      <c r="N5" s="17">
        <f>'Electronic Shop Sales Dataset'!$D5*'Electronic Shop Sales Dataset'!$E5</f>
        <v>279.8</v>
      </c>
      <c r="O5" s="12" cm="1">
        <f t="array" ref="O5">_xlfn.IFS($K5="Website",$N5*0.05, $K5="Mobile App",$N5*0.05,TRUE,0)</f>
        <v>13.990000000000002</v>
      </c>
      <c r="P5" s="14" t="str">
        <f>IF(COUNTIF($G$2:G580,G5)&gt;1,"Returning","New")</f>
        <v>New</v>
      </c>
      <c r="Q5" s="24" t="str">
        <f t="shared" si="0"/>
        <v>January</v>
      </c>
      <c r="R5" t="str">
        <v>New Arrival</v>
      </c>
      <c r="S5" t="str">
        <v>USB Drive</v>
      </c>
      <c r="U5" t="str">
        <v>Social Media</v>
      </c>
      <c r="W5" t="str">
        <v>Pennsylvania</v>
      </c>
    </row>
    <row r="6" spans="1:26" x14ac:dyDescent="0.25">
      <c r="A6" s="10" t="s">
        <v>38</v>
      </c>
      <c r="B6" s="11" t="str">
        <f>'Electronic Shop Sales Dataset'!$A6&amp;"-"&amp;'Electronic Shop Sales Dataset'!$C6</f>
        <v>P00007-Tablet</v>
      </c>
      <c r="C6" s="11" t="s">
        <v>83</v>
      </c>
      <c r="D6" s="12">
        <v>796.53</v>
      </c>
      <c r="E6" s="11">
        <v>2</v>
      </c>
      <c r="F6" s="11" t="s">
        <v>21</v>
      </c>
      <c r="G6" s="11" t="s">
        <v>271</v>
      </c>
      <c r="H6" s="11" t="s">
        <v>22</v>
      </c>
      <c r="I6" s="11">
        <v>32.741646000000003</v>
      </c>
      <c r="J6" s="11">
        <v>-89.678696000000002</v>
      </c>
      <c r="K6" s="11" t="s">
        <v>15</v>
      </c>
      <c r="L6" s="13">
        <v>45293</v>
      </c>
      <c r="M6" s="13">
        <f>DATEVALUE(TEXT(L6,"mm/dd/yy"))</f>
        <v>45293</v>
      </c>
      <c r="N6" s="12">
        <f>'Electronic Shop Sales Dataset'!$D6*'Electronic Shop Sales Dataset'!$E6</f>
        <v>1593.06</v>
      </c>
      <c r="O6" s="12" cm="1">
        <f t="array" ref="O6">_xlfn.IFS($K6="Website",$N6*0.05, $K6="Mobile App",$N6*0.05,TRUE,0)</f>
        <v>0</v>
      </c>
      <c r="P6" s="14" t="str">
        <f>IF(COUNTIF($G$2:G581,G6)&gt;1,"Returning","New")</f>
        <v>New</v>
      </c>
      <c r="Q6" s="24" t="str">
        <f t="shared" si="0"/>
        <v>January</v>
      </c>
      <c r="R6" t="str">
        <v>New Arrival</v>
      </c>
      <c r="S6" t="str">
        <v>Printer</v>
      </c>
      <c r="U6" t="str">
        <v>Mobile App</v>
      </c>
      <c r="W6" t="str">
        <v>Connecticut</v>
      </c>
    </row>
    <row r="7" spans="1:26" x14ac:dyDescent="0.25">
      <c r="A7" s="15" t="s">
        <v>28</v>
      </c>
      <c r="B7" s="16" t="str">
        <f>'Electronic Shop Sales Dataset'!$A7&amp;"-"&amp;'Electronic Shop Sales Dataset'!$C7</f>
        <v>P00006-Power Bank</v>
      </c>
      <c r="C7" s="16" t="s">
        <v>124</v>
      </c>
      <c r="D7" s="17">
        <v>49.38</v>
      </c>
      <c r="E7" s="16">
        <v>1</v>
      </c>
      <c r="F7" s="16" t="s">
        <v>21</v>
      </c>
      <c r="G7" s="16" t="s">
        <v>272</v>
      </c>
      <c r="H7" s="16" t="s">
        <v>80</v>
      </c>
      <c r="I7" s="16">
        <v>39.318522999999999</v>
      </c>
      <c r="J7" s="16">
        <v>-75.507141000000004</v>
      </c>
      <c r="K7" s="16" t="s">
        <v>48</v>
      </c>
      <c r="L7" s="18">
        <v>45294</v>
      </c>
      <c r="M7" s="13">
        <f>DATEVALUE(TEXT(L7,"mm/dd/yy"))</f>
        <v>45294</v>
      </c>
      <c r="N7" s="17">
        <f>'Electronic Shop Sales Dataset'!$D7*'Electronic Shop Sales Dataset'!$E7</f>
        <v>49.38</v>
      </c>
      <c r="O7" s="12" cm="1">
        <f t="array" ref="O7">_xlfn.IFS($K7="Website",$N7*0.05, $K7="Mobile App",$N7*0.05,TRUE,0)</f>
        <v>2.4690000000000003</v>
      </c>
      <c r="P7" s="14" t="str">
        <f>IF(COUNTIF($G$2:G582,G7)&gt;1,"Returning","New")</f>
        <v>New</v>
      </c>
      <c r="Q7" s="24" t="str">
        <f t="shared" si="0"/>
        <v>January</v>
      </c>
      <c r="R7" t="str">
        <v>New Arrival</v>
      </c>
      <c r="S7" t="str">
        <v>Tablet</v>
      </c>
      <c r="U7" t="str">
        <v>Physical</v>
      </c>
      <c r="W7" t="str">
        <v>Mississippi</v>
      </c>
    </row>
    <row r="8" spans="1:26" x14ac:dyDescent="0.25">
      <c r="A8" s="10" t="s">
        <v>92</v>
      </c>
      <c r="B8" s="11" t="str">
        <f>'Electronic Shop Sales Dataset'!$A8&amp;"-"&amp;'Electronic Shop Sales Dataset'!$C8</f>
        <v>P00004-Charger</v>
      </c>
      <c r="C8" s="11" t="s">
        <v>32</v>
      </c>
      <c r="D8" s="12">
        <v>18.02</v>
      </c>
      <c r="E8" s="11">
        <v>2</v>
      </c>
      <c r="F8" s="11" t="s">
        <v>43</v>
      </c>
      <c r="G8" s="11" t="s">
        <v>273</v>
      </c>
      <c r="H8" s="11" t="s">
        <v>143</v>
      </c>
      <c r="I8" s="11">
        <v>35.565342000000001</v>
      </c>
      <c r="J8" s="11">
        <v>-96.928916999999998</v>
      </c>
      <c r="K8" s="11" t="s">
        <v>27</v>
      </c>
      <c r="L8" s="13">
        <v>45294</v>
      </c>
      <c r="M8" s="13">
        <f>DATEVALUE(TEXT(L8,"mm/dd/yy"))</f>
        <v>45294</v>
      </c>
      <c r="N8" s="12">
        <f>'Electronic Shop Sales Dataset'!$D8*'Electronic Shop Sales Dataset'!$E8</f>
        <v>36.04</v>
      </c>
      <c r="O8" s="12" cm="1">
        <f t="array" ref="O8">_xlfn.IFS($K8="Website",$N8*0.05, $K8="Mobile App",$N8*0.05,TRUE,0)</f>
        <v>0</v>
      </c>
      <c r="P8" s="14" t="str">
        <f>IF(COUNTIF($G$2:G583,G8)&gt;1,"Returning","New")</f>
        <v>New</v>
      </c>
      <c r="Q8" s="24" t="str">
        <f t="shared" si="0"/>
        <v>January</v>
      </c>
      <c r="R8" t="str">
        <v>New Arrival</v>
      </c>
      <c r="S8" t="str">
        <v>Power Bank</v>
      </c>
      <c r="W8" t="str">
        <v>Delaware</v>
      </c>
    </row>
    <row r="9" spans="1:26" x14ac:dyDescent="0.25">
      <c r="A9" s="15" t="s">
        <v>24</v>
      </c>
      <c r="B9" s="16" t="str">
        <f>'Electronic Shop Sales Dataset'!$A9&amp;"-"&amp;'Electronic Shop Sales Dataset'!$C9</f>
        <v>P00013-Tablet</v>
      </c>
      <c r="C9" s="16" t="s">
        <v>83</v>
      </c>
      <c r="D9" s="17">
        <v>398.73</v>
      </c>
      <c r="E9" s="16">
        <v>4</v>
      </c>
      <c r="F9" s="16" t="s">
        <v>43</v>
      </c>
      <c r="G9" s="16" t="s">
        <v>274</v>
      </c>
      <c r="H9" s="16" t="s">
        <v>120</v>
      </c>
      <c r="I9" s="16">
        <v>40.349457000000001</v>
      </c>
      <c r="J9" s="16">
        <v>-88.986136999999999</v>
      </c>
      <c r="K9" s="16" t="s">
        <v>54</v>
      </c>
      <c r="L9" s="18">
        <v>45294</v>
      </c>
      <c r="M9" s="13">
        <f>DATEVALUE(TEXT(L9,"mm/dd/yy"))</f>
        <v>45294</v>
      </c>
      <c r="N9" s="17">
        <f>'Electronic Shop Sales Dataset'!$D9*'Electronic Shop Sales Dataset'!$E9</f>
        <v>1594.92</v>
      </c>
      <c r="O9" s="12" cm="1">
        <f t="array" ref="O9">_xlfn.IFS($K9="Website",$N9*0.05, $K9="Mobile App",$N9*0.05,TRUE,0)</f>
        <v>79.746000000000009</v>
      </c>
      <c r="P9" s="14" t="str">
        <f>IF(COUNTIF($G$2:G584,G9)&gt;1,"Returning","New")</f>
        <v>New</v>
      </c>
      <c r="Q9" s="24" t="str">
        <f t="shared" si="0"/>
        <v>January</v>
      </c>
      <c r="R9" t="str">
        <v>New Arrival</v>
      </c>
      <c r="S9" t="str">
        <v>Charger</v>
      </c>
      <c r="W9" t="str">
        <v>Oklahoma</v>
      </c>
    </row>
    <row r="10" spans="1:26" x14ac:dyDescent="0.25">
      <c r="A10" s="10" t="s">
        <v>60</v>
      </c>
      <c r="B10" s="11" t="str">
        <f>'Electronic Shop Sales Dataset'!$A10&amp;"-"&amp;'Electronic Shop Sales Dataset'!$C10</f>
        <v>P00015-Power Bank</v>
      </c>
      <c r="C10" s="11" t="s">
        <v>124</v>
      </c>
      <c r="D10" s="12">
        <v>87.43</v>
      </c>
      <c r="E10" s="11">
        <v>4</v>
      </c>
      <c r="F10" s="11" t="s">
        <v>13</v>
      </c>
      <c r="G10" s="11" t="s">
        <v>275</v>
      </c>
      <c r="H10" s="11" t="s">
        <v>14</v>
      </c>
      <c r="I10" s="11">
        <v>42.230170999999999</v>
      </c>
      <c r="J10" s="11">
        <v>-71.530106000000004</v>
      </c>
      <c r="K10" s="11" t="s">
        <v>23</v>
      </c>
      <c r="L10" s="13">
        <v>45295</v>
      </c>
      <c r="M10" s="13">
        <f>DATEVALUE(TEXT(L10,"mm/dd/yy"))</f>
        <v>45295</v>
      </c>
      <c r="N10" s="12">
        <f>'Electronic Shop Sales Dataset'!$D10*'Electronic Shop Sales Dataset'!$E10</f>
        <v>349.72</v>
      </c>
      <c r="O10" s="12" cm="1">
        <f t="array" ref="O10">_xlfn.IFS($K10="Website",$N10*0.05, $K10="Mobile App",$N10*0.05,TRUE,0)</f>
        <v>0</v>
      </c>
      <c r="P10" s="14" t="str">
        <f>IF(COUNTIF($G$2:G585,G10)&gt;1,"Returning","New")</f>
        <v>New</v>
      </c>
      <c r="Q10" s="24" t="str">
        <f t="shared" si="0"/>
        <v>January</v>
      </c>
      <c r="R10" t="str">
        <v>New Arrival</v>
      </c>
      <c r="S10" t="str">
        <v>Mouse</v>
      </c>
      <c r="W10" t="str">
        <v>Massachusetts</v>
      </c>
    </row>
    <row r="11" spans="1:26" x14ac:dyDescent="0.25">
      <c r="A11" s="15" t="s">
        <v>51</v>
      </c>
      <c r="B11" s="16" t="str">
        <f>'Electronic Shop Sales Dataset'!$A11&amp;"-"&amp;'Electronic Shop Sales Dataset'!$C11</f>
        <v>P00017-Mouse</v>
      </c>
      <c r="C11" s="16" t="s">
        <v>95</v>
      </c>
      <c r="D11" s="17">
        <v>19.420000000000002</v>
      </c>
      <c r="E11" s="16">
        <v>1</v>
      </c>
      <c r="F11" s="16" t="s">
        <v>13</v>
      </c>
      <c r="G11" s="16" t="s">
        <v>276</v>
      </c>
      <c r="H11" s="16" t="s">
        <v>132</v>
      </c>
      <c r="I11" s="16">
        <v>27.766279000000001</v>
      </c>
      <c r="J11" s="16">
        <v>-81.686783000000005</v>
      </c>
      <c r="K11" s="16" t="s">
        <v>54</v>
      </c>
      <c r="L11" s="18">
        <v>45295</v>
      </c>
      <c r="M11" s="13">
        <f>DATEVALUE(TEXT(L11,"mm/dd/yy"))</f>
        <v>45295</v>
      </c>
      <c r="N11" s="17">
        <f>'Electronic Shop Sales Dataset'!$D11*'Electronic Shop Sales Dataset'!$E11</f>
        <v>19.420000000000002</v>
      </c>
      <c r="O11" s="12" cm="1">
        <f t="array" ref="O11">_xlfn.IFS($K11="Website",$N11*0.05, $K11="Mobile App",$N11*0.05,TRUE,0)</f>
        <v>0.97100000000000009</v>
      </c>
      <c r="P11" s="14" t="str">
        <f>IF(COUNTIF($G$2:G586,G11)&gt;1,"Returning","New")</f>
        <v>New</v>
      </c>
      <c r="Q11" s="24" t="str">
        <f t="shared" si="0"/>
        <v>January</v>
      </c>
      <c r="R11" t="str">
        <v>New Arrival</v>
      </c>
      <c r="S11" t="str">
        <v>VR Headset</v>
      </c>
      <c r="W11" t="str">
        <v>Florida</v>
      </c>
    </row>
    <row r="12" spans="1:26" x14ac:dyDescent="0.25">
      <c r="A12" s="10" t="s">
        <v>88</v>
      </c>
      <c r="B12" s="11" t="str">
        <f>'Electronic Shop Sales Dataset'!$A12&amp;"-"&amp;'Electronic Shop Sales Dataset'!$C12</f>
        <v>P00018-Power Bank</v>
      </c>
      <c r="C12" s="11" t="s">
        <v>124</v>
      </c>
      <c r="D12" s="12">
        <v>91.69</v>
      </c>
      <c r="E12" s="11">
        <v>2</v>
      </c>
      <c r="F12" s="11" t="s">
        <v>13</v>
      </c>
      <c r="G12" s="11" t="s">
        <v>231</v>
      </c>
      <c r="H12" s="11" t="s">
        <v>103</v>
      </c>
      <c r="I12" s="11">
        <v>43.326618000000003</v>
      </c>
      <c r="J12" s="11">
        <v>-84.536095000000003</v>
      </c>
      <c r="K12" s="11" t="s">
        <v>48</v>
      </c>
      <c r="L12" s="13">
        <v>45295</v>
      </c>
      <c r="M12" s="13">
        <f>DATEVALUE(TEXT(L12,"mm/dd/yy"))</f>
        <v>45295</v>
      </c>
      <c r="N12" s="12">
        <f>'Electronic Shop Sales Dataset'!$D12*'Electronic Shop Sales Dataset'!$E12</f>
        <v>183.38</v>
      </c>
      <c r="O12" s="12" cm="1">
        <f t="array" ref="O12">_xlfn.IFS($K12="Website",$N12*0.05, $K12="Mobile App",$N12*0.05,TRUE,0)</f>
        <v>9.1690000000000005</v>
      </c>
      <c r="P12" s="14" t="str">
        <f>IF(COUNTIF($G$2:G587,G12)&gt;1,"Returning","New")</f>
        <v>New</v>
      </c>
      <c r="Q12" s="24" t="str">
        <f t="shared" si="0"/>
        <v>January</v>
      </c>
      <c r="R12" t="str">
        <v>New Arrival</v>
      </c>
      <c r="S12" t="str">
        <v>Laptop</v>
      </c>
      <c r="W12" t="str">
        <v>Michigan</v>
      </c>
    </row>
    <row r="13" spans="1:26" x14ac:dyDescent="0.25">
      <c r="A13" s="15" t="s">
        <v>35</v>
      </c>
      <c r="B13" s="16" t="str">
        <f>'Electronic Shop Sales Dataset'!$A13&amp;"-"&amp;'Electronic Shop Sales Dataset'!$C13</f>
        <v>P00008-Power Bank</v>
      </c>
      <c r="C13" s="16" t="s">
        <v>124</v>
      </c>
      <c r="D13" s="17">
        <v>49.23</v>
      </c>
      <c r="E13" s="16">
        <v>1</v>
      </c>
      <c r="F13" s="16" t="s">
        <v>43</v>
      </c>
      <c r="G13" s="16" t="s">
        <v>237</v>
      </c>
      <c r="H13" s="16" t="s">
        <v>93</v>
      </c>
      <c r="I13" s="16">
        <v>38.491225999999997</v>
      </c>
      <c r="J13" s="16">
        <v>-80.954455999999993</v>
      </c>
      <c r="K13" s="16" t="s">
        <v>48</v>
      </c>
      <c r="L13" s="18">
        <v>45295</v>
      </c>
      <c r="M13" s="13">
        <f>DATEVALUE(TEXT(L13,"mm/dd/yy"))</f>
        <v>45295</v>
      </c>
      <c r="N13" s="17">
        <f>'Electronic Shop Sales Dataset'!$D13*'Electronic Shop Sales Dataset'!$E13</f>
        <v>49.23</v>
      </c>
      <c r="O13" s="12" cm="1">
        <f t="array" ref="O13">_xlfn.IFS($K13="Website",$N13*0.05, $K13="Mobile App",$N13*0.05,TRUE,0)</f>
        <v>2.4615</v>
      </c>
      <c r="P13" s="14" t="str">
        <f>IF(COUNTIF($G$2:G588,G13)&gt;1,"Returning","New")</f>
        <v>New</v>
      </c>
      <c r="Q13" s="24" t="str">
        <f t="shared" si="0"/>
        <v>January</v>
      </c>
      <c r="R13" t="str">
        <v>New Arrival</v>
      </c>
      <c r="S13" t="str">
        <v>Drone</v>
      </c>
      <c r="W13" t="str">
        <v>West Virginia</v>
      </c>
    </row>
    <row r="14" spans="1:26" x14ac:dyDescent="0.25">
      <c r="A14" s="10" t="s">
        <v>24</v>
      </c>
      <c r="B14" s="11" t="str">
        <f>'Electronic Shop Sales Dataset'!$A14&amp;"-"&amp;'Electronic Shop Sales Dataset'!$C14</f>
        <v>P00013-Smartwatch</v>
      </c>
      <c r="C14" s="11" t="s">
        <v>62</v>
      </c>
      <c r="D14" s="12">
        <v>256.77</v>
      </c>
      <c r="E14" s="11">
        <v>5</v>
      </c>
      <c r="F14" s="11" t="s">
        <v>43</v>
      </c>
      <c r="G14" s="11" t="s">
        <v>277</v>
      </c>
      <c r="H14" s="11" t="s">
        <v>75</v>
      </c>
      <c r="I14" s="11">
        <v>39.059811000000003</v>
      </c>
      <c r="J14" s="11">
        <v>-105.311104</v>
      </c>
      <c r="K14" s="11" t="s">
        <v>15</v>
      </c>
      <c r="L14" s="13">
        <v>45295</v>
      </c>
      <c r="M14" s="13">
        <f>DATEVALUE(TEXT(L14,"mm/dd/yy"))</f>
        <v>45295</v>
      </c>
      <c r="N14" s="12">
        <f>'Electronic Shop Sales Dataset'!$D14*'Electronic Shop Sales Dataset'!$E14</f>
        <v>1283.8499999999999</v>
      </c>
      <c r="O14" s="12" cm="1">
        <f t="array" ref="O14">_xlfn.IFS($K14="Website",$N14*0.05, $K14="Mobile App",$N14*0.05,TRUE,0)</f>
        <v>0</v>
      </c>
      <c r="P14" s="14" t="str">
        <f>IF(COUNTIF($G$2:G589,G14)&gt;1,"Returning","New")</f>
        <v>New</v>
      </c>
      <c r="Q14" s="24" t="str">
        <f t="shared" si="0"/>
        <v>January</v>
      </c>
      <c r="R14" t="str">
        <v>New Arrival</v>
      </c>
      <c r="S14" t="str">
        <v>Headphones</v>
      </c>
      <c r="W14" t="str">
        <v>Colorado</v>
      </c>
    </row>
    <row r="15" spans="1:26" x14ac:dyDescent="0.25">
      <c r="A15" s="15" t="s">
        <v>92</v>
      </c>
      <c r="B15" s="16" t="str">
        <f>'Electronic Shop Sales Dataset'!$A15&amp;"-"&amp;'Electronic Shop Sales Dataset'!$C15</f>
        <v>P00004-VR Headset</v>
      </c>
      <c r="C15" s="16" t="s">
        <v>72</v>
      </c>
      <c r="D15" s="17">
        <v>811.34</v>
      </c>
      <c r="E15" s="16">
        <v>1</v>
      </c>
      <c r="F15" s="16" t="s">
        <v>43</v>
      </c>
      <c r="G15" s="16" t="s">
        <v>245</v>
      </c>
      <c r="H15" s="16" t="s">
        <v>113</v>
      </c>
      <c r="I15" s="16">
        <v>34.969704</v>
      </c>
      <c r="J15" s="16">
        <v>-92.373123000000007</v>
      </c>
      <c r="K15" s="16" t="s">
        <v>54</v>
      </c>
      <c r="L15" s="18">
        <v>45296</v>
      </c>
      <c r="M15" s="13">
        <f>DATEVALUE(TEXT(L15,"mm/dd/yy"))</f>
        <v>45296</v>
      </c>
      <c r="N15" s="17">
        <f>'Electronic Shop Sales Dataset'!$D15*'Electronic Shop Sales Dataset'!$E15</f>
        <v>811.34</v>
      </c>
      <c r="O15" s="12" cm="1">
        <f t="array" ref="O15">_xlfn.IFS($K15="Website",$N15*0.05, $K15="Mobile App",$N15*0.05,TRUE,0)</f>
        <v>40.567000000000007</v>
      </c>
      <c r="P15" s="14" t="str">
        <f>IF(COUNTIF($G$2:G590,G15)&gt;1,"Returning","New")</f>
        <v>New</v>
      </c>
      <c r="Q15" s="24" t="str">
        <f t="shared" si="0"/>
        <v>January</v>
      </c>
      <c r="R15" t="str">
        <v>New Arrival</v>
      </c>
      <c r="S15" t="str">
        <v>Projector</v>
      </c>
      <c r="W15" t="str">
        <v>Arkansas</v>
      </c>
    </row>
    <row r="16" spans="1:26" x14ac:dyDescent="0.25">
      <c r="A16" s="10" t="s">
        <v>79</v>
      </c>
      <c r="B16" s="11" t="str">
        <f>'Electronic Shop Sales Dataset'!$A16&amp;"-"&amp;'Electronic Shop Sales Dataset'!$C16</f>
        <v>P00012-Laptop</v>
      </c>
      <c r="C16" s="11" t="s">
        <v>89</v>
      </c>
      <c r="D16" s="12">
        <v>1938.62</v>
      </c>
      <c r="E16" s="11">
        <v>3</v>
      </c>
      <c r="F16" s="11" t="s">
        <v>33</v>
      </c>
      <c r="G16" s="11" t="s">
        <v>278</v>
      </c>
      <c r="H16" s="11" t="s">
        <v>132</v>
      </c>
      <c r="I16" s="11">
        <v>27.766279000000001</v>
      </c>
      <c r="J16" s="11">
        <v>-81.686783000000005</v>
      </c>
      <c r="K16" s="11" t="s">
        <v>27</v>
      </c>
      <c r="L16" s="13">
        <v>45296</v>
      </c>
      <c r="M16" s="13">
        <f>DATEVALUE(TEXT(L16,"mm/dd/yy"))</f>
        <v>45296</v>
      </c>
      <c r="N16" s="12">
        <f>'Electronic Shop Sales Dataset'!$D16*'Electronic Shop Sales Dataset'!$E16</f>
        <v>5815.86</v>
      </c>
      <c r="O16" s="12" cm="1">
        <f t="array" ref="O16">_xlfn.IFS($K16="Website",$N16*0.05, $K16="Mobile App",$N16*0.05,TRUE,0)</f>
        <v>0</v>
      </c>
      <c r="P16" s="14" t="str">
        <f>IF(COUNTIF($G$2:G591,G16)&gt;1,"Returning","New")</f>
        <v>New</v>
      </c>
      <c r="Q16" s="24" t="str">
        <f t="shared" si="0"/>
        <v>January</v>
      </c>
      <c r="R16" t="str">
        <v>Old Stock</v>
      </c>
      <c r="S16" t="str">
        <v>Graphics Card</v>
      </c>
      <c r="W16" t="str">
        <v>Utah</v>
      </c>
    </row>
    <row r="17" spans="1:23" x14ac:dyDescent="0.25">
      <c r="A17" s="15" t="s">
        <v>24</v>
      </c>
      <c r="B17" s="16" t="str">
        <f>'Electronic Shop Sales Dataset'!$A17&amp;"-"&amp;'Electronic Shop Sales Dataset'!$C17</f>
        <v>P00013-Drone</v>
      </c>
      <c r="C17" s="16" t="s">
        <v>20</v>
      </c>
      <c r="D17" s="17">
        <v>1708.47</v>
      </c>
      <c r="E17" s="16">
        <v>1</v>
      </c>
      <c r="F17" s="16" t="s">
        <v>33</v>
      </c>
      <c r="G17" s="16" t="s">
        <v>279</v>
      </c>
      <c r="H17" s="16" t="s">
        <v>57</v>
      </c>
      <c r="I17" s="16">
        <v>40.150032000000003</v>
      </c>
      <c r="J17" s="16">
        <v>-111.86243399999999</v>
      </c>
      <c r="K17" s="16" t="s">
        <v>15</v>
      </c>
      <c r="L17" s="18">
        <v>45296</v>
      </c>
      <c r="M17" s="13">
        <f>DATEVALUE(TEXT(L17,"mm/dd/yy"))</f>
        <v>45296</v>
      </c>
      <c r="N17" s="17">
        <f>'Electronic Shop Sales Dataset'!$D17*'Electronic Shop Sales Dataset'!$E17</f>
        <v>1708.47</v>
      </c>
      <c r="O17" s="12" cm="1">
        <f t="array" ref="O17">_xlfn.IFS($K17="Website",$N17*0.05, $K17="Mobile App",$N17*0.05,TRUE,0)</f>
        <v>0</v>
      </c>
      <c r="P17" s="14" t="str">
        <f>IF(COUNTIF($G$2:G592,G17)&gt;1,"Returning","New")</f>
        <v>New</v>
      </c>
      <c r="Q17" s="24" t="str">
        <f t="shared" si="0"/>
        <v>January</v>
      </c>
      <c r="R17" t="str">
        <v>New Arrival</v>
      </c>
      <c r="S17" t="str">
        <v>Monitor</v>
      </c>
      <c r="W17" t="str">
        <v>New Jersey</v>
      </c>
    </row>
    <row r="18" spans="1:23" x14ac:dyDescent="0.25">
      <c r="A18" s="10" t="s">
        <v>88</v>
      </c>
      <c r="B18" s="11" t="str">
        <f>'Electronic Shop Sales Dataset'!$A18&amp;"-"&amp;'Electronic Shop Sales Dataset'!$C18</f>
        <v>P00018-Printer</v>
      </c>
      <c r="C18" s="11" t="s">
        <v>52</v>
      </c>
      <c r="D18" s="12">
        <v>346.36</v>
      </c>
      <c r="E18" s="11">
        <v>2</v>
      </c>
      <c r="F18" s="11" t="s">
        <v>21</v>
      </c>
      <c r="G18" s="11" t="s">
        <v>280</v>
      </c>
      <c r="H18" s="11" t="s">
        <v>53</v>
      </c>
      <c r="I18" s="11">
        <v>40.298904</v>
      </c>
      <c r="J18" s="11">
        <v>-74.521011000000001</v>
      </c>
      <c r="K18" s="11" t="s">
        <v>23</v>
      </c>
      <c r="L18" s="13">
        <v>45299</v>
      </c>
      <c r="M18" s="13">
        <f>DATEVALUE(TEXT(L18,"mm/dd/yy"))</f>
        <v>45299</v>
      </c>
      <c r="N18" s="12">
        <f>'Electronic Shop Sales Dataset'!$D18*'Electronic Shop Sales Dataset'!$E18</f>
        <v>692.72</v>
      </c>
      <c r="O18" s="12" cm="1">
        <f t="array" ref="O18">_xlfn.IFS($K18="Website",$N18*0.05, $K18="Mobile App",$N18*0.05,TRUE,0)</f>
        <v>0</v>
      </c>
      <c r="P18" s="14" t="str">
        <f>IF(COUNTIF($G$2:G593,G18)&gt;1,"Returning","New")</f>
        <v>New</v>
      </c>
      <c r="Q18" s="24" t="str">
        <f t="shared" si="0"/>
        <v>January</v>
      </c>
      <c r="R18" t="str">
        <v>New Arrival</v>
      </c>
      <c r="S18" t="str">
        <v>Hard Disk</v>
      </c>
      <c r="W18" t="str">
        <v>North Carolina</v>
      </c>
    </row>
    <row r="19" spans="1:23" x14ac:dyDescent="0.25">
      <c r="A19" s="15" t="s">
        <v>61</v>
      </c>
      <c r="B19" s="16" t="str">
        <f>'Electronic Shop Sales Dataset'!$A19&amp;"-"&amp;'Electronic Shop Sales Dataset'!$C19</f>
        <v>P00002-Tablet</v>
      </c>
      <c r="C19" s="16" t="s">
        <v>83</v>
      </c>
      <c r="D19" s="17">
        <v>777.81</v>
      </c>
      <c r="E19" s="16">
        <v>4</v>
      </c>
      <c r="F19" s="16" t="s">
        <v>43</v>
      </c>
      <c r="G19" s="16" t="s">
        <v>281</v>
      </c>
      <c r="H19" s="16" t="s">
        <v>105</v>
      </c>
      <c r="I19" s="16">
        <v>35.630065999999999</v>
      </c>
      <c r="J19" s="16">
        <v>-79.806419000000005</v>
      </c>
      <c r="K19" s="16" t="s">
        <v>23</v>
      </c>
      <c r="L19" s="18">
        <v>45301</v>
      </c>
      <c r="M19" s="13">
        <f>DATEVALUE(TEXT(L19,"mm/dd/yy"))</f>
        <v>45301</v>
      </c>
      <c r="N19" s="17">
        <f>'Electronic Shop Sales Dataset'!$D19*'Electronic Shop Sales Dataset'!$E19</f>
        <v>3111.24</v>
      </c>
      <c r="O19" s="12" cm="1">
        <f t="array" ref="O19">_xlfn.IFS($K19="Website",$N19*0.05, $K19="Mobile App",$N19*0.05,TRUE,0)</f>
        <v>0</v>
      </c>
      <c r="P19" s="14" t="str">
        <f>IF(COUNTIF($G$2:G594,G19)&gt;1,"Returning","New")</f>
        <v>New</v>
      </c>
      <c r="Q19" s="24" t="str">
        <f t="shared" si="0"/>
        <v>January</v>
      </c>
      <c r="R19" t="str">
        <v>New Arrival</v>
      </c>
      <c r="S19" t="str">
        <v>Camera</v>
      </c>
      <c r="W19" t="str">
        <v>Tennessee</v>
      </c>
    </row>
    <row r="20" spans="1:23" x14ac:dyDescent="0.25">
      <c r="A20" s="10" t="s">
        <v>19</v>
      </c>
      <c r="B20" s="11" t="str">
        <f>'Electronic Shop Sales Dataset'!$A20&amp;"-"&amp;'Electronic Shop Sales Dataset'!$C20</f>
        <v>P00003-Headphones</v>
      </c>
      <c r="C20" s="11" t="s">
        <v>55</v>
      </c>
      <c r="D20" s="12">
        <v>134.21</v>
      </c>
      <c r="E20" s="11">
        <v>1</v>
      </c>
      <c r="F20" s="11" t="s">
        <v>43</v>
      </c>
      <c r="G20" s="11" t="s">
        <v>282</v>
      </c>
      <c r="H20" s="11" t="s">
        <v>146</v>
      </c>
      <c r="I20" s="11">
        <v>40.590752000000002</v>
      </c>
      <c r="J20" s="11">
        <v>-77.209755000000001</v>
      </c>
      <c r="K20" s="11" t="s">
        <v>23</v>
      </c>
      <c r="L20" s="13">
        <v>45301</v>
      </c>
      <c r="M20" s="13">
        <f>DATEVALUE(TEXT(L20,"mm/dd/yy"))</f>
        <v>45301</v>
      </c>
      <c r="N20" s="12">
        <f>'Electronic Shop Sales Dataset'!$D20*'Electronic Shop Sales Dataset'!$E20</f>
        <v>134.21</v>
      </c>
      <c r="O20" s="12" cm="1">
        <f t="array" ref="O20">_xlfn.IFS($K20="Website",$N20*0.05, $K20="Mobile App",$N20*0.05,TRUE,0)</f>
        <v>0</v>
      </c>
      <c r="P20" s="14" t="str">
        <f>IF(COUNTIF($G$2:G595,G20)&gt;1,"Returning","New")</f>
        <v>New</v>
      </c>
      <c r="Q20" s="24" t="str">
        <f t="shared" si="0"/>
        <v>January</v>
      </c>
      <c r="R20" t="str">
        <v>New Arrival</v>
      </c>
      <c r="S20" t="str">
        <v>Gaming Console</v>
      </c>
      <c r="W20" t="str">
        <v>Alaska</v>
      </c>
    </row>
    <row r="21" spans="1:23" x14ac:dyDescent="0.25">
      <c r="A21" s="15" t="s">
        <v>60</v>
      </c>
      <c r="B21" s="16" t="str">
        <f>'Electronic Shop Sales Dataset'!$A21&amp;"-"&amp;'Electronic Shop Sales Dataset'!$C21</f>
        <v>P00015-Projector</v>
      </c>
      <c r="C21" s="16" t="s">
        <v>65</v>
      </c>
      <c r="D21" s="17">
        <v>306.74</v>
      </c>
      <c r="E21" s="16">
        <v>5</v>
      </c>
      <c r="F21" s="16" t="s">
        <v>21</v>
      </c>
      <c r="G21" s="16" t="s">
        <v>283</v>
      </c>
      <c r="H21" s="16" t="s">
        <v>26</v>
      </c>
      <c r="I21" s="16">
        <v>35.747844999999998</v>
      </c>
      <c r="J21" s="16">
        <v>-86.692345000000003</v>
      </c>
      <c r="K21" s="16" t="s">
        <v>27</v>
      </c>
      <c r="L21" s="18">
        <v>45301</v>
      </c>
      <c r="M21" s="13">
        <f>DATEVALUE(TEXT(L21,"mm/dd/yy"))</f>
        <v>45301</v>
      </c>
      <c r="N21" s="17">
        <f>'Electronic Shop Sales Dataset'!$D21*'Electronic Shop Sales Dataset'!$E21</f>
        <v>1533.7</v>
      </c>
      <c r="O21" s="12" cm="1">
        <f t="array" ref="O21">_xlfn.IFS($K21="Website",$N21*0.05, $K21="Mobile App",$N21*0.05,TRUE,0)</f>
        <v>0</v>
      </c>
      <c r="P21" s="14" t="str">
        <f>IF(COUNTIF($G$2:G596,G21)&gt;1,"Returning","New")</f>
        <v>New</v>
      </c>
      <c r="Q21" s="24" t="str">
        <f t="shared" si="0"/>
        <v>January</v>
      </c>
      <c r="R21" t="str">
        <v>New Arrival</v>
      </c>
      <c r="S21" t="str">
        <v>Keyboard</v>
      </c>
      <c r="W21" t="str">
        <v>Texas</v>
      </c>
    </row>
    <row r="22" spans="1:23" x14ac:dyDescent="0.25">
      <c r="A22" s="10" t="s">
        <v>49</v>
      </c>
      <c r="B22" s="11" t="str">
        <f>'Electronic Shop Sales Dataset'!$A22&amp;"-"&amp;'Electronic Shop Sales Dataset'!$C22</f>
        <v>P00023-Graphics Card</v>
      </c>
      <c r="C22" s="11" t="s">
        <v>125</v>
      </c>
      <c r="D22" s="12">
        <v>1166.6400000000001</v>
      </c>
      <c r="E22" s="11">
        <v>5</v>
      </c>
      <c r="F22" s="11" t="s">
        <v>13</v>
      </c>
      <c r="G22" s="11" t="s">
        <v>284</v>
      </c>
      <c r="H22" s="11" t="s">
        <v>104</v>
      </c>
      <c r="I22" s="11">
        <v>61.370716000000002</v>
      </c>
      <c r="J22" s="11">
        <v>-152.40441899999999</v>
      </c>
      <c r="K22" s="11" t="s">
        <v>27</v>
      </c>
      <c r="L22" s="13">
        <v>45301</v>
      </c>
      <c r="M22" s="13">
        <f>DATEVALUE(TEXT(L22,"mm/dd/yy"))</f>
        <v>45301</v>
      </c>
      <c r="N22" s="12">
        <f>'Electronic Shop Sales Dataset'!$D22*'Electronic Shop Sales Dataset'!$E22</f>
        <v>5833.2000000000007</v>
      </c>
      <c r="O22" s="12" cm="1">
        <f t="array" ref="O22">_xlfn.IFS($K22="Website",$N22*0.05, $K22="Mobile App",$N22*0.05,TRUE,0)</f>
        <v>0</v>
      </c>
      <c r="P22" s="14" t="str">
        <f>IF(COUNTIF($G$2:G597,G22)&gt;1,"Returning","New")</f>
        <v>New</v>
      </c>
      <c r="Q22" s="24" t="str">
        <f t="shared" si="0"/>
        <v>January</v>
      </c>
      <c r="R22" t="str">
        <v>New Arrival</v>
      </c>
      <c r="S22" t="str">
        <v>Smart TV</v>
      </c>
      <c r="W22" t="str">
        <v>Vermont</v>
      </c>
    </row>
    <row r="23" spans="1:23" x14ac:dyDescent="0.25">
      <c r="A23" s="15" t="s">
        <v>41</v>
      </c>
      <c r="B23" s="16" t="str">
        <f>'Electronic Shop Sales Dataset'!$A23&amp;"-"&amp;'Electronic Shop Sales Dataset'!$C23</f>
        <v>P00024-Projector</v>
      </c>
      <c r="C23" s="16" t="s">
        <v>65</v>
      </c>
      <c r="D23" s="17">
        <v>536.19000000000005</v>
      </c>
      <c r="E23" s="16">
        <v>5</v>
      </c>
      <c r="F23" s="16" t="s">
        <v>33</v>
      </c>
      <c r="G23" s="16" t="s">
        <v>130</v>
      </c>
      <c r="H23" s="16" t="s">
        <v>78</v>
      </c>
      <c r="I23" s="16">
        <v>31.054487000000002</v>
      </c>
      <c r="J23" s="16">
        <v>-97.563461000000004</v>
      </c>
      <c r="K23" s="16" t="s">
        <v>54</v>
      </c>
      <c r="L23" s="18">
        <v>45301</v>
      </c>
      <c r="M23" s="13">
        <f>DATEVALUE(TEXT(L23,"mm/dd/yy"))</f>
        <v>45301</v>
      </c>
      <c r="N23" s="17">
        <f>'Electronic Shop Sales Dataset'!$D23*'Electronic Shop Sales Dataset'!$E23</f>
        <v>2680.9500000000003</v>
      </c>
      <c r="O23" s="12" cm="1">
        <f t="array" ref="O23">_xlfn.IFS($K23="Website",$N23*0.05, $K23="Mobile App",$N23*0.05,TRUE,0)</f>
        <v>134.04750000000001</v>
      </c>
      <c r="P23" s="14" t="str">
        <f>IF(COUNTIF($G$2:G598,G23)&gt;1,"Returning","New")</f>
        <v>New</v>
      </c>
      <c r="Q23" s="24" t="str">
        <f t="shared" si="0"/>
        <v>January</v>
      </c>
      <c r="R23" t="str">
        <v>New Arrival</v>
      </c>
      <c r="S23" t="str">
        <v>Router</v>
      </c>
      <c r="W23" t="str">
        <v>Minnesota</v>
      </c>
    </row>
    <row r="24" spans="1:23" x14ac:dyDescent="0.25">
      <c r="A24" s="10" t="s">
        <v>41</v>
      </c>
      <c r="B24" s="11" t="str">
        <f>'Electronic Shop Sales Dataset'!$A24&amp;"-"&amp;'Electronic Shop Sales Dataset'!$C24</f>
        <v>P00024-Headphones</v>
      </c>
      <c r="C24" s="11" t="s">
        <v>55</v>
      </c>
      <c r="D24" s="12">
        <v>294.27</v>
      </c>
      <c r="E24" s="11">
        <v>2</v>
      </c>
      <c r="F24" s="11" t="s">
        <v>21</v>
      </c>
      <c r="G24" s="11" t="s">
        <v>285</v>
      </c>
      <c r="H24" s="11" t="s">
        <v>47</v>
      </c>
      <c r="I24" s="11">
        <v>44.045876</v>
      </c>
      <c r="J24" s="11">
        <v>-72.710685999999995</v>
      </c>
      <c r="K24" s="11" t="s">
        <v>15</v>
      </c>
      <c r="L24" s="13">
        <v>45302</v>
      </c>
      <c r="M24" s="13">
        <f>DATEVALUE(TEXT(L24,"mm/dd/yy"))</f>
        <v>45302</v>
      </c>
      <c r="N24" s="12">
        <f>'Electronic Shop Sales Dataset'!$D24*'Electronic Shop Sales Dataset'!$E24</f>
        <v>588.54</v>
      </c>
      <c r="O24" s="12" cm="1">
        <f t="array" ref="O24">_xlfn.IFS($K24="Website",$N24*0.05, $K24="Mobile App",$N24*0.05,TRUE,0)</f>
        <v>0</v>
      </c>
      <c r="P24" s="14" t="str">
        <f>IF(COUNTIF($G$2:G599,G24)&gt;1,"Returning","New")</f>
        <v>New</v>
      </c>
      <c r="Q24" s="24" t="str">
        <f t="shared" si="0"/>
        <v>January</v>
      </c>
      <c r="R24" t="str">
        <v>New Arrival</v>
      </c>
      <c r="S24" t="str">
        <v>Speaker</v>
      </c>
      <c r="W24" t="str">
        <v>Rhode Island</v>
      </c>
    </row>
    <row r="25" spans="1:23" x14ac:dyDescent="0.25">
      <c r="A25" s="15" t="s">
        <v>51</v>
      </c>
      <c r="B25" s="16" t="str">
        <f>'Electronic Shop Sales Dataset'!$A25&amp;"-"&amp;'Electronic Shop Sales Dataset'!$C25</f>
        <v>P00017-Monitor</v>
      </c>
      <c r="C25" s="16" t="s">
        <v>25</v>
      </c>
      <c r="D25" s="17">
        <v>913.12</v>
      </c>
      <c r="E25" s="16">
        <v>4</v>
      </c>
      <c r="F25" s="16" t="s">
        <v>33</v>
      </c>
      <c r="G25" s="16" t="s">
        <v>286</v>
      </c>
      <c r="H25" s="16" t="s">
        <v>100</v>
      </c>
      <c r="I25" s="16">
        <v>45.694454</v>
      </c>
      <c r="J25" s="16">
        <v>-93.900192000000004</v>
      </c>
      <c r="K25" s="16" t="s">
        <v>23</v>
      </c>
      <c r="L25" s="18">
        <v>45302</v>
      </c>
      <c r="M25" s="13">
        <f>DATEVALUE(TEXT(L25,"mm/dd/yy"))</f>
        <v>45302</v>
      </c>
      <c r="N25" s="17">
        <f>'Electronic Shop Sales Dataset'!$D25*'Electronic Shop Sales Dataset'!$E25</f>
        <v>3652.48</v>
      </c>
      <c r="O25" s="12" cm="1">
        <f t="array" ref="O25">_xlfn.IFS($K25="Website",$N25*0.05, $K25="Mobile App",$N25*0.05,TRUE,0)</f>
        <v>0</v>
      </c>
      <c r="P25" s="14" t="str">
        <f>IF(COUNTIF($G$2:G600,G25)&gt;1,"Returning","New")</f>
        <v>New</v>
      </c>
      <c r="Q25" s="24" t="str">
        <f t="shared" si="0"/>
        <v>January</v>
      </c>
      <c r="R25" t="str">
        <v>New Arrival</v>
      </c>
      <c r="S25" t="str">
        <v>Smart Home Hub</v>
      </c>
      <c r="W25" t="str">
        <v>New Hampshire</v>
      </c>
    </row>
    <row r="26" spans="1:23" x14ac:dyDescent="0.25">
      <c r="A26" s="10" t="s">
        <v>31</v>
      </c>
      <c r="B26" s="11" t="str">
        <f>'Electronic Shop Sales Dataset'!$A26&amp;"-"&amp;'Electronic Shop Sales Dataset'!$C26</f>
        <v>P00022-Laptop</v>
      </c>
      <c r="C26" s="11" t="s">
        <v>89</v>
      </c>
      <c r="D26" s="12">
        <v>1843.37</v>
      </c>
      <c r="E26" s="11">
        <v>2</v>
      </c>
      <c r="F26" s="11" t="s">
        <v>43</v>
      </c>
      <c r="G26" s="11" t="s">
        <v>287</v>
      </c>
      <c r="H26" s="11" t="s">
        <v>59</v>
      </c>
      <c r="I26" s="11">
        <v>41.680892999999998</v>
      </c>
      <c r="J26" s="11">
        <v>-71.511780000000002</v>
      </c>
      <c r="K26" s="11" t="s">
        <v>15</v>
      </c>
      <c r="L26" s="13">
        <v>45302</v>
      </c>
      <c r="M26" s="13">
        <f>DATEVALUE(TEXT(L26,"mm/dd/yy"))</f>
        <v>45302</v>
      </c>
      <c r="N26" s="12">
        <f>'Electronic Shop Sales Dataset'!$D26*'Electronic Shop Sales Dataset'!$E26</f>
        <v>3686.74</v>
      </c>
      <c r="O26" s="12" cm="1">
        <f t="array" ref="O26">_xlfn.IFS($K26="Website",$N26*0.05, $K26="Mobile App",$N26*0.05,TRUE,0)</f>
        <v>0</v>
      </c>
      <c r="P26" s="14" t="str">
        <f>IF(COUNTIF($G$2:G601,G26)&gt;1,"Returning","New")</f>
        <v>New</v>
      </c>
      <c r="Q26" s="24" t="str">
        <f t="shared" si="0"/>
        <v>January</v>
      </c>
      <c r="R26" t="str">
        <v>Old Stock</v>
      </c>
      <c r="S26" t="str">
        <v>Smartphone</v>
      </c>
      <c r="W26" t="str">
        <v>Louisiana</v>
      </c>
    </row>
    <row r="27" spans="1:23" x14ac:dyDescent="0.25">
      <c r="A27" s="15" t="s">
        <v>35</v>
      </c>
      <c r="B27" s="16" t="str">
        <f>'Electronic Shop Sales Dataset'!$A27&amp;"-"&amp;'Electronic Shop Sales Dataset'!$C27</f>
        <v>P00008-Hard Disk</v>
      </c>
      <c r="C27" s="16" t="s">
        <v>97</v>
      </c>
      <c r="D27" s="17">
        <v>68.62</v>
      </c>
      <c r="E27" s="16">
        <v>3</v>
      </c>
      <c r="F27" s="16" t="s">
        <v>13</v>
      </c>
      <c r="G27" s="16" t="s">
        <v>288</v>
      </c>
      <c r="H27" s="16" t="s">
        <v>103</v>
      </c>
      <c r="I27" s="16">
        <v>43.326618000000003</v>
      </c>
      <c r="J27" s="16">
        <v>-84.536095000000003</v>
      </c>
      <c r="K27" s="16" t="s">
        <v>27</v>
      </c>
      <c r="L27" s="18">
        <v>45302</v>
      </c>
      <c r="M27" s="13">
        <f>DATEVALUE(TEXT(L27,"mm/dd/yy"))</f>
        <v>45302</v>
      </c>
      <c r="N27" s="17">
        <f>'Electronic Shop Sales Dataset'!$D27*'Electronic Shop Sales Dataset'!$E27</f>
        <v>205.86</v>
      </c>
      <c r="O27" s="12" cm="1">
        <f t="array" ref="O27">_xlfn.IFS($K27="Website",$N27*0.05, $K27="Mobile App",$N27*0.05,TRUE,0)</f>
        <v>0</v>
      </c>
      <c r="P27" s="14" t="str">
        <f>IF(COUNTIF($G$2:G602,G27)&gt;1,"Returning","New")</f>
        <v>New</v>
      </c>
      <c r="Q27" s="24" t="str">
        <f t="shared" si="0"/>
        <v>January</v>
      </c>
      <c r="R27" t="str">
        <v>New Arrival</v>
      </c>
      <c r="W27" t="str">
        <v>Hawaii</v>
      </c>
    </row>
    <row r="28" spans="1:23" x14ac:dyDescent="0.25">
      <c r="A28" s="10" t="s">
        <v>64</v>
      </c>
      <c r="B28" s="11" t="str">
        <f>'Electronic Shop Sales Dataset'!$A28&amp;"-"&amp;'Electronic Shop Sales Dataset'!$C28</f>
        <v>P00011-Camera</v>
      </c>
      <c r="C28" s="11" t="s">
        <v>46</v>
      </c>
      <c r="D28" s="12">
        <v>1553.53</v>
      </c>
      <c r="E28" s="11">
        <v>5</v>
      </c>
      <c r="F28" s="11" t="s">
        <v>43</v>
      </c>
      <c r="G28" s="11" t="s">
        <v>289</v>
      </c>
      <c r="H28" s="11" t="s">
        <v>116</v>
      </c>
      <c r="I28" s="11">
        <v>43.452491999999999</v>
      </c>
      <c r="J28" s="11">
        <v>-71.563896</v>
      </c>
      <c r="K28" s="11" t="s">
        <v>48</v>
      </c>
      <c r="L28" s="13">
        <v>45302</v>
      </c>
      <c r="M28" s="13">
        <f>DATEVALUE(TEXT(L28,"mm/dd/yy"))</f>
        <v>45302</v>
      </c>
      <c r="N28" s="12">
        <f>'Electronic Shop Sales Dataset'!$D28*'Electronic Shop Sales Dataset'!$E28</f>
        <v>7767.65</v>
      </c>
      <c r="O28" s="12" cm="1">
        <f t="array" ref="O28">_xlfn.IFS($K28="Website",$N28*0.05, $K28="Mobile App",$N28*0.05,TRUE,0)</f>
        <v>388.38249999999999</v>
      </c>
      <c r="P28" s="14" t="str">
        <f>IF(COUNTIF($G$2:G603,G28)&gt;1,"Returning","New")</f>
        <v>New</v>
      </c>
      <c r="Q28" s="24" t="str">
        <f t="shared" si="0"/>
        <v>January</v>
      </c>
      <c r="R28" t="str">
        <v>New Arrival</v>
      </c>
      <c r="W28" t="str">
        <v>New Mexico</v>
      </c>
    </row>
    <row r="29" spans="1:23" x14ac:dyDescent="0.25">
      <c r="A29" s="15" t="s">
        <v>49</v>
      </c>
      <c r="B29" s="16" t="str">
        <f>'Electronic Shop Sales Dataset'!$A29&amp;"-"&amp;'Electronic Shop Sales Dataset'!$C29</f>
        <v>P00023-Charger</v>
      </c>
      <c r="C29" s="16" t="s">
        <v>32</v>
      </c>
      <c r="D29" s="17">
        <v>15.66</v>
      </c>
      <c r="E29" s="16">
        <v>5</v>
      </c>
      <c r="F29" s="16" t="s">
        <v>43</v>
      </c>
      <c r="G29" s="16" t="s">
        <v>290</v>
      </c>
      <c r="H29" s="16" t="s">
        <v>85</v>
      </c>
      <c r="I29" s="16">
        <v>31.169546</v>
      </c>
      <c r="J29" s="16">
        <v>-91.867805000000004</v>
      </c>
      <c r="K29" s="16" t="s">
        <v>27</v>
      </c>
      <c r="L29" s="18">
        <v>45303</v>
      </c>
      <c r="M29" s="13">
        <f>DATEVALUE(TEXT(L29,"mm/dd/yy"))</f>
        <v>45303</v>
      </c>
      <c r="N29" s="17">
        <f>'Electronic Shop Sales Dataset'!$D29*'Electronic Shop Sales Dataset'!$E29</f>
        <v>78.3</v>
      </c>
      <c r="O29" s="12" cm="1">
        <f t="array" ref="O29">_xlfn.IFS($K29="Website",$N29*0.05, $K29="Mobile App",$N29*0.05,TRUE,0)</f>
        <v>0</v>
      </c>
      <c r="P29" s="14" t="str">
        <f>IF(COUNTIF($G$2:G604,G29)&gt;1,"Returning","New")</f>
        <v>New</v>
      </c>
      <c r="Q29" s="24" t="str">
        <f t="shared" si="0"/>
        <v>January</v>
      </c>
      <c r="R29" t="str">
        <v>New Arrival</v>
      </c>
      <c r="W29" t="str">
        <v>Ohio</v>
      </c>
    </row>
    <row r="30" spans="1:23" x14ac:dyDescent="0.25">
      <c r="A30" s="10" t="s">
        <v>102</v>
      </c>
      <c r="B30" s="11" t="str">
        <f>'Electronic Shop Sales Dataset'!$A30&amp;"-"&amp;'Electronic Shop Sales Dataset'!$C30</f>
        <v>P00001-Gaming Console</v>
      </c>
      <c r="C30" s="11" t="s">
        <v>17</v>
      </c>
      <c r="D30" s="12">
        <v>392.04</v>
      </c>
      <c r="E30" s="11">
        <v>2</v>
      </c>
      <c r="F30" s="11" t="s">
        <v>43</v>
      </c>
      <c r="G30" s="11" t="s">
        <v>291</v>
      </c>
      <c r="H30" s="11" t="s">
        <v>101</v>
      </c>
      <c r="I30" s="11">
        <v>21.094318000000001</v>
      </c>
      <c r="J30" s="11">
        <v>-157.49833699999999</v>
      </c>
      <c r="K30" s="11" t="s">
        <v>27</v>
      </c>
      <c r="L30" s="13">
        <v>45303</v>
      </c>
      <c r="M30" s="13">
        <f>DATEVALUE(TEXT(L30,"mm/dd/yy"))</f>
        <v>45303</v>
      </c>
      <c r="N30" s="12">
        <f>'Electronic Shop Sales Dataset'!$D30*'Electronic Shop Sales Dataset'!$E30</f>
        <v>784.08</v>
      </c>
      <c r="O30" s="12" cm="1">
        <f t="array" ref="O30">_xlfn.IFS($K30="Website",$N30*0.05, $K30="Mobile App",$N30*0.05,TRUE,0)</f>
        <v>0</v>
      </c>
      <c r="P30" s="14" t="str">
        <f>IF(COUNTIF($G$2:G605,G30)&gt;1,"Returning","New")</f>
        <v>New</v>
      </c>
      <c r="Q30" s="24" t="str">
        <f t="shared" si="0"/>
        <v>January</v>
      </c>
      <c r="R30" t="str">
        <v>New Arrival</v>
      </c>
      <c r="W30" t="str">
        <v>Alabama</v>
      </c>
    </row>
    <row r="31" spans="1:23" x14ac:dyDescent="0.25">
      <c r="A31" s="15" t="s">
        <v>92</v>
      </c>
      <c r="B31" s="16" t="str">
        <f>'Electronic Shop Sales Dataset'!$A31&amp;"-"&amp;'Electronic Shop Sales Dataset'!$C31</f>
        <v>P00004-Laptop</v>
      </c>
      <c r="C31" s="16" t="s">
        <v>89</v>
      </c>
      <c r="D31" s="17">
        <v>646.54999999999995</v>
      </c>
      <c r="E31" s="16">
        <v>3</v>
      </c>
      <c r="F31" s="16" t="s">
        <v>33</v>
      </c>
      <c r="G31" s="16" t="s">
        <v>292</v>
      </c>
      <c r="H31" s="16" t="s">
        <v>26</v>
      </c>
      <c r="I31" s="16">
        <v>35.747844999999998</v>
      </c>
      <c r="J31" s="16">
        <v>-86.692345000000003</v>
      </c>
      <c r="K31" s="16" t="s">
        <v>27</v>
      </c>
      <c r="L31" s="18">
        <v>45303</v>
      </c>
      <c r="M31" s="13">
        <f>DATEVALUE(TEXT(L31,"mm/dd/yy"))</f>
        <v>45303</v>
      </c>
      <c r="N31" s="17">
        <f>'Electronic Shop Sales Dataset'!$D31*'Electronic Shop Sales Dataset'!$E31</f>
        <v>1939.6499999999999</v>
      </c>
      <c r="O31" s="12" cm="1">
        <f t="array" ref="O31">_xlfn.IFS($K31="Website",$N31*0.05, $K31="Mobile App",$N31*0.05,TRUE,0)</f>
        <v>0</v>
      </c>
      <c r="P31" s="14" t="str">
        <f>IF(COUNTIF($G$2:G606,G31)&gt;1,"Returning","New")</f>
        <v>New</v>
      </c>
      <c r="Q31" s="24" t="str">
        <f t="shared" si="0"/>
        <v>January</v>
      </c>
      <c r="R31" t="str">
        <v>Old Stock</v>
      </c>
      <c r="W31" t="str">
        <v>Kansas</v>
      </c>
    </row>
    <row r="32" spans="1:23" x14ac:dyDescent="0.25">
      <c r="A32" s="10" t="s">
        <v>79</v>
      </c>
      <c r="B32" s="11" t="str">
        <f>'Electronic Shop Sales Dataset'!$A32&amp;"-"&amp;'Electronic Shop Sales Dataset'!$C32</f>
        <v>P00012-Mouse</v>
      </c>
      <c r="C32" s="11" t="s">
        <v>95</v>
      </c>
      <c r="D32" s="12">
        <v>44.42</v>
      </c>
      <c r="E32" s="11">
        <v>3</v>
      </c>
      <c r="F32" s="11" t="s">
        <v>33</v>
      </c>
      <c r="G32" s="11" t="s">
        <v>293</v>
      </c>
      <c r="H32" s="11" t="s">
        <v>63</v>
      </c>
      <c r="I32" s="11">
        <v>34.840515000000003</v>
      </c>
      <c r="J32" s="11">
        <v>-106.248482</v>
      </c>
      <c r="K32" s="11" t="s">
        <v>15</v>
      </c>
      <c r="L32" s="13">
        <v>45304</v>
      </c>
      <c r="M32" s="13">
        <f>DATEVALUE(TEXT(L32,"mm/dd/yy"))</f>
        <v>45304</v>
      </c>
      <c r="N32" s="12">
        <f>'Electronic Shop Sales Dataset'!$D32*'Electronic Shop Sales Dataset'!$E32</f>
        <v>133.26</v>
      </c>
      <c r="O32" s="12" cm="1">
        <f t="array" ref="O32">_xlfn.IFS($K32="Website",$N32*0.05, $K32="Mobile App",$N32*0.05,TRUE,0)</f>
        <v>0</v>
      </c>
      <c r="P32" s="14" t="str">
        <f>IF(COUNTIF($G$2:G607,G32)&gt;1,"Returning","New")</f>
        <v>New</v>
      </c>
      <c r="Q32" s="24" t="str">
        <f t="shared" si="0"/>
        <v>January</v>
      </c>
      <c r="R32" t="str">
        <v>New Arrival</v>
      </c>
      <c r="W32" t="str">
        <v>Oregon</v>
      </c>
    </row>
    <row r="33" spans="1:23" x14ac:dyDescent="0.25">
      <c r="A33" s="15" t="s">
        <v>88</v>
      </c>
      <c r="B33" s="16" t="str">
        <f>'Electronic Shop Sales Dataset'!$A33&amp;"-"&amp;'Electronic Shop Sales Dataset'!$C33</f>
        <v>P00018-Hard Disk</v>
      </c>
      <c r="C33" s="16" t="s">
        <v>97</v>
      </c>
      <c r="D33" s="17">
        <v>107.94</v>
      </c>
      <c r="E33" s="16">
        <v>5</v>
      </c>
      <c r="F33" s="16" t="s">
        <v>13</v>
      </c>
      <c r="G33" s="16" t="s">
        <v>294</v>
      </c>
      <c r="H33" s="16" t="s">
        <v>78</v>
      </c>
      <c r="I33" s="16">
        <v>31.054487000000002</v>
      </c>
      <c r="J33" s="16">
        <v>-97.563461000000004</v>
      </c>
      <c r="K33" s="16" t="s">
        <v>15</v>
      </c>
      <c r="L33" s="18">
        <v>45304</v>
      </c>
      <c r="M33" s="13">
        <f>DATEVALUE(TEXT(L33,"mm/dd/yy"))</f>
        <v>45304</v>
      </c>
      <c r="N33" s="17">
        <f>'Electronic Shop Sales Dataset'!$D33*'Electronic Shop Sales Dataset'!$E33</f>
        <v>539.70000000000005</v>
      </c>
      <c r="O33" s="12" cm="1">
        <f t="array" ref="O33">_xlfn.IFS($K33="Website",$N33*0.05, $K33="Mobile App",$N33*0.05,TRUE,0)</f>
        <v>0</v>
      </c>
      <c r="P33" s="14" t="str">
        <f>IF(COUNTIF($G$2:G608,G33)&gt;1,"Returning","New")</f>
        <v>New</v>
      </c>
      <c r="Q33" s="24" t="str">
        <f t="shared" si="0"/>
        <v>January</v>
      </c>
      <c r="R33" t="str">
        <v>New Arrival</v>
      </c>
      <c r="W33" t="str">
        <v>South Carolina</v>
      </c>
    </row>
    <row r="34" spans="1:23" x14ac:dyDescent="0.25">
      <c r="A34" s="10" t="s">
        <v>86</v>
      </c>
      <c r="B34" s="11" t="str">
        <f>'Electronic Shop Sales Dataset'!$A34&amp;"-"&amp;'Electronic Shop Sales Dataset'!$C34</f>
        <v>P00021-Tablet</v>
      </c>
      <c r="C34" s="11" t="s">
        <v>83</v>
      </c>
      <c r="D34" s="12">
        <v>401.34</v>
      </c>
      <c r="E34" s="11">
        <v>3</v>
      </c>
      <c r="F34" s="11" t="s">
        <v>21</v>
      </c>
      <c r="G34" s="11" t="s">
        <v>295</v>
      </c>
      <c r="H34" s="11" t="s">
        <v>146</v>
      </c>
      <c r="I34" s="11">
        <v>40.590752000000002</v>
      </c>
      <c r="J34" s="11">
        <v>-77.209755000000001</v>
      </c>
      <c r="K34" s="11" t="s">
        <v>23</v>
      </c>
      <c r="L34" s="13">
        <v>45305</v>
      </c>
      <c r="M34" s="13">
        <f>DATEVALUE(TEXT(L34,"mm/dd/yy"))</f>
        <v>45305</v>
      </c>
      <c r="N34" s="12">
        <f>'Electronic Shop Sales Dataset'!$D34*'Electronic Shop Sales Dataset'!$E34</f>
        <v>1204.02</v>
      </c>
      <c r="O34" s="12" cm="1">
        <f t="array" ref="O34">_xlfn.IFS($K34="Website",$N34*0.05, $K34="Mobile App",$N34*0.05,TRUE,0)</f>
        <v>0</v>
      </c>
      <c r="P34" s="14" t="str">
        <f>IF(COUNTIF($G$2:G609,G34)&gt;1,"Returning","New")</f>
        <v>New</v>
      </c>
      <c r="Q34" s="24" t="str">
        <f t="shared" si="0"/>
        <v>January</v>
      </c>
      <c r="R34" t="str">
        <v>New Arrival</v>
      </c>
      <c r="W34" t="str">
        <v>Idaho</v>
      </c>
    </row>
    <row r="35" spans="1:23" x14ac:dyDescent="0.25">
      <c r="A35" s="15" t="s">
        <v>61</v>
      </c>
      <c r="B35" s="16" t="str">
        <f>'Electronic Shop Sales Dataset'!$A35&amp;"-"&amp;'Electronic Shop Sales Dataset'!$C35</f>
        <v>P00002-Scanner</v>
      </c>
      <c r="C35" s="16" t="s">
        <v>71</v>
      </c>
      <c r="D35" s="17">
        <v>135.26</v>
      </c>
      <c r="E35" s="16">
        <v>1</v>
      </c>
      <c r="F35" s="16" t="s">
        <v>33</v>
      </c>
      <c r="G35" s="16" t="s">
        <v>296</v>
      </c>
      <c r="H35" s="16" t="s">
        <v>123</v>
      </c>
      <c r="I35" s="16">
        <v>40.388782999999997</v>
      </c>
      <c r="J35" s="16">
        <v>-82.764915000000002</v>
      </c>
      <c r="K35" s="16" t="s">
        <v>27</v>
      </c>
      <c r="L35" s="18">
        <v>45306</v>
      </c>
      <c r="M35" s="13">
        <f>DATEVALUE(TEXT(L35,"mm/dd/yy"))</f>
        <v>45306</v>
      </c>
      <c r="N35" s="17">
        <f>'Electronic Shop Sales Dataset'!$D35*'Electronic Shop Sales Dataset'!$E35</f>
        <v>135.26</v>
      </c>
      <c r="O35" s="12" cm="1">
        <f t="array" ref="O35">_xlfn.IFS($K35="Website",$N35*0.05, $K35="Mobile App",$N35*0.05,TRUE,0)</f>
        <v>0</v>
      </c>
      <c r="P35" s="14" t="str">
        <f>IF(COUNTIF($G$2:G610,G35)&gt;1,"Returning","New")</f>
        <v>New</v>
      </c>
      <c r="Q35" s="24" t="str">
        <f t="shared" si="0"/>
        <v>January</v>
      </c>
      <c r="R35" t="str">
        <v>New Arrival</v>
      </c>
      <c r="W35" t="str">
        <v>Wisconsin</v>
      </c>
    </row>
    <row r="36" spans="1:23" x14ac:dyDescent="0.25">
      <c r="A36" s="10" t="s">
        <v>117</v>
      </c>
      <c r="B36" s="11" t="str">
        <f>'Electronic Shop Sales Dataset'!$A36&amp;"-"&amp;'Electronic Shop Sales Dataset'!$C36</f>
        <v>P00016-Drone</v>
      </c>
      <c r="C36" s="11" t="s">
        <v>20</v>
      </c>
      <c r="D36" s="12">
        <v>1458.91</v>
      </c>
      <c r="E36" s="11">
        <v>3</v>
      </c>
      <c r="F36" s="11" t="s">
        <v>21</v>
      </c>
      <c r="G36" s="11" t="s">
        <v>297</v>
      </c>
      <c r="H36" s="11" t="s">
        <v>94</v>
      </c>
      <c r="I36" s="11">
        <v>41.597782000000002</v>
      </c>
      <c r="J36" s="11">
        <v>-72.755370999999997</v>
      </c>
      <c r="K36" s="11" t="s">
        <v>23</v>
      </c>
      <c r="L36" s="13">
        <v>45307</v>
      </c>
      <c r="M36" s="13">
        <f>DATEVALUE(TEXT(L36,"mm/dd/yy"))</f>
        <v>45307</v>
      </c>
      <c r="N36" s="12">
        <f>'Electronic Shop Sales Dataset'!$D36*'Electronic Shop Sales Dataset'!$E36</f>
        <v>4376.7300000000005</v>
      </c>
      <c r="O36" s="12" cm="1">
        <f t="array" ref="O36">_xlfn.IFS($K36="Website",$N36*0.05, $K36="Mobile App",$N36*0.05,TRUE,0)</f>
        <v>0</v>
      </c>
      <c r="P36" s="14" t="str">
        <f>IF(COUNTIF($G$2:G611,G36)&gt;1,"Returning","New")</f>
        <v>New</v>
      </c>
      <c r="Q36" s="24" t="str">
        <f t="shared" si="0"/>
        <v>January</v>
      </c>
      <c r="R36" t="str">
        <v>New Arrival</v>
      </c>
      <c r="W36" t="str">
        <v>Wyoming</v>
      </c>
    </row>
    <row r="37" spans="1:23" x14ac:dyDescent="0.25">
      <c r="A37" s="15" t="s">
        <v>90</v>
      </c>
      <c r="B37" s="16" t="str">
        <f>'Electronic Shop Sales Dataset'!$A37&amp;"-"&amp;'Electronic Shop Sales Dataset'!$C37</f>
        <v>P00014-Keyboard</v>
      </c>
      <c r="C37" s="16" t="s">
        <v>29</v>
      </c>
      <c r="D37" s="17">
        <v>123.94</v>
      </c>
      <c r="E37" s="16">
        <v>5</v>
      </c>
      <c r="F37" s="16" t="s">
        <v>43</v>
      </c>
      <c r="G37" s="16" t="s">
        <v>298</v>
      </c>
      <c r="H37" s="16" t="s">
        <v>14</v>
      </c>
      <c r="I37" s="16">
        <v>42.230170999999999</v>
      </c>
      <c r="J37" s="16">
        <v>-71.530106000000004</v>
      </c>
      <c r="K37" s="16" t="s">
        <v>15</v>
      </c>
      <c r="L37" s="18">
        <v>45307</v>
      </c>
      <c r="M37" s="13">
        <f>DATEVALUE(TEXT(L37,"mm/dd/yy"))</f>
        <v>45307</v>
      </c>
      <c r="N37" s="17">
        <f>'Electronic Shop Sales Dataset'!$D37*'Electronic Shop Sales Dataset'!$E37</f>
        <v>619.70000000000005</v>
      </c>
      <c r="O37" s="12" cm="1">
        <f t="array" ref="O37">_xlfn.IFS($K37="Website",$N37*0.05, $K37="Mobile App",$N37*0.05,TRUE,0)</f>
        <v>0</v>
      </c>
      <c r="P37" s="14" t="str">
        <f>IF(COUNTIF($G$2:G612,G37)&gt;1,"Returning","New")</f>
        <v>New</v>
      </c>
      <c r="Q37" s="24" t="str">
        <f t="shared" si="0"/>
        <v>January</v>
      </c>
      <c r="R37" t="str">
        <v>New Arrival</v>
      </c>
      <c r="W37" t="str">
        <v>Montana</v>
      </c>
    </row>
    <row r="38" spans="1:23" x14ac:dyDescent="0.25">
      <c r="A38" s="10" t="s">
        <v>64</v>
      </c>
      <c r="B38" s="11" t="str">
        <f>'Electronic Shop Sales Dataset'!$A38&amp;"-"&amp;'Electronic Shop Sales Dataset'!$C38</f>
        <v>P00011-Laptop</v>
      </c>
      <c r="C38" s="11" t="s">
        <v>89</v>
      </c>
      <c r="D38" s="12">
        <v>1034.25</v>
      </c>
      <c r="E38" s="11">
        <v>5</v>
      </c>
      <c r="F38" s="11" t="s">
        <v>13</v>
      </c>
      <c r="G38" s="11" t="s">
        <v>229</v>
      </c>
      <c r="H38" s="11" t="s">
        <v>14</v>
      </c>
      <c r="I38" s="11">
        <v>42.230170999999999</v>
      </c>
      <c r="J38" s="11">
        <v>-71.530106000000004</v>
      </c>
      <c r="K38" s="11" t="s">
        <v>15</v>
      </c>
      <c r="L38" s="13">
        <v>45307</v>
      </c>
      <c r="M38" s="13">
        <f>DATEVALUE(TEXT(L38,"mm/dd/yy"))</f>
        <v>45307</v>
      </c>
      <c r="N38" s="12">
        <f>'Electronic Shop Sales Dataset'!$D38*'Electronic Shop Sales Dataset'!$E38</f>
        <v>5171.25</v>
      </c>
      <c r="O38" s="12" cm="1">
        <f t="array" ref="O38">_xlfn.IFS($K38="Website",$N38*0.05, $K38="Mobile App",$N38*0.05,TRUE,0)</f>
        <v>0</v>
      </c>
      <c r="P38" s="14" t="str">
        <f>IF(COUNTIF($G$2:G613,G38)&gt;1,"Returning","New")</f>
        <v>New</v>
      </c>
      <c r="Q38" s="24" t="str">
        <f t="shared" si="0"/>
        <v>January</v>
      </c>
      <c r="R38" t="str">
        <v>Old Stock</v>
      </c>
      <c r="W38" t="str">
        <v>Indiana</v>
      </c>
    </row>
    <row r="39" spans="1:23" x14ac:dyDescent="0.25">
      <c r="A39" s="15" t="s">
        <v>11</v>
      </c>
      <c r="B39" s="16" t="str">
        <f>'Electronic Shop Sales Dataset'!$A39&amp;"-"&amp;'Electronic Shop Sales Dataset'!$C39</f>
        <v>P00019-USB Drive</v>
      </c>
      <c r="C39" s="16" t="s">
        <v>36</v>
      </c>
      <c r="D39" s="17">
        <v>14.7</v>
      </c>
      <c r="E39" s="16">
        <v>2</v>
      </c>
      <c r="F39" s="16" t="s">
        <v>21</v>
      </c>
      <c r="G39" s="16" t="s">
        <v>299</v>
      </c>
      <c r="H39" s="16" t="s">
        <v>132</v>
      </c>
      <c r="I39" s="16">
        <v>27.766279000000001</v>
      </c>
      <c r="J39" s="16">
        <v>-81.686783000000005</v>
      </c>
      <c r="K39" s="16" t="s">
        <v>27</v>
      </c>
      <c r="L39" s="18">
        <v>45308</v>
      </c>
      <c r="M39" s="13">
        <f>DATEVALUE(TEXT(L39,"mm/dd/yy"))</f>
        <v>45308</v>
      </c>
      <c r="N39" s="17">
        <f>'Electronic Shop Sales Dataset'!$D39*'Electronic Shop Sales Dataset'!$E39</f>
        <v>29.4</v>
      </c>
      <c r="O39" s="12" cm="1">
        <f t="array" ref="O39">_xlfn.IFS($K39="Website",$N39*0.05, $K39="Mobile App",$N39*0.05,TRUE,0)</f>
        <v>0</v>
      </c>
      <c r="P39" s="14" t="str">
        <f>IF(COUNTIF($G$2:G614,G39)&gt;1,"Returning","New")</f>
        <v>New</v>
      </c>
      <c r="Q39" s="24" t="str">
        <f t="shared" si="0"/>
        <v>January</v>
      </c>
      <c r="R39" t="str">
        <v>New Arrival</v>
      </c>
      <c r="W39" t="str">
        <v>Missouri</v>
      </c>
    </row>
    <row r="40" spans="1:23" x14ac:dyDescent="0.25">
      <c r="A40" s="10" t="s">
        <v>28</v>
      </c>
      <c r="B40" s="11" t="str">
        <f>'Electronic Shop Sales Dataset'!$A40&amp;"-"&amp;'Electronic Shop Sales Dataset'!$C40</f>
        <v>P00006-Monitor</v>
      </c>
      <c r="C40" s="11" t="s">
        <v>25</v>
      </c>
      <c r="D40" s="12">
        <v>325.61</v>
      </c>
      <c r="E40" s="11">
        <v>3</v>
      </c>
      <c r="F40" s="11" t="s">
        <v>43</v>
      </c>
      <c r="G40" s="11" t="s">
        <v>204</v>
      </c>
      <c r="H40" s="11" t="s">
        <v>123</v>
      </c>
      <c r="I40" s="11">
        <v>40.388782999999997</v>
      </c>
      <c r="J40" s="11">
        <v>-82.764915000000002</v>
      </c>
      <c r="K40" s="11" t="s">
        <v>54</v>
      </c>
      <c r="L40" s="13">
        <v>45308</v>
      </c>
      <c r="M40" s="13">
        <f>DATEVALUE(TEXT(L40,"mm/dd/yy"))</f>
        <v>45308</v>
      </c>
      <c r="N40" s="12">
        <f>'Electronic Shop Sales Dataset'!$D40*'Electronic Shop Sales Dataset'!$E40</f>
        <v>976.83</v>
      </c>
      <c r="O40" s="12" cm="1">
        <f t="array" ref="O40">_xlfn.IFS($K40="Website",$N40*0.05, $K40="Mobile App",$N40*0.05,TRUE,0)</f>
        <v>48.841500000000003</v>
      </c>
      <c r="P40" s="14" t="str">
        <f>IF(COUNTIF($G$2:G615,G40)&gt;1,"Returning","New")</f>
        <v>New</v>
      </c>
      <c r="Q40" s="24" t="str">
        <f t="shared" si="0"/>
        <v>January</v>
      </c>
      <c r="R40" t="str">
        <v>New Arrival</v>
      </c>
      <c r="W40" t="str">
        <v>Washington</v>
      </c>
    </row>
    <row r="41" spans="1:23" x14ac:dyDescent="0.25">
      <c r="A41" s="15" t="s">
        <v>19</v>
      </c>
      <c r="B41" s="16" t="str">
        <f>'Electronic Shop Sales Dataset'!$A41&amp;"-"&amp;'Electronic Shop Sales Dataset'!$C41</f>
        <v>P00003-Projector</v>
      </c>
      <c r="C41" s="16" t="s">
        <v>65</v>
      </c>
      <c r="D41" s="17">
        <v>608.77</v>
      </c>
      <c r="E41" s="16">
        <v>2</v>
      </c>
      <c r="F41" s="16" t="s">
        <v>43</v>
      </c>
      <c r="G41" s="16" t="s">
        <v>300</v>
      </c>
      <c r="H41" s="16" t="s">
        <v>34</v>
      </c>
      <c r="I41" s="16">
        <v>32.806671000000001</v>
      </c>
      <c r="J41" s="16">
        <v>-86.791129999999995</v>
      </c>
      <c r="K41" s="16" t="s">
        <v>23</v>
      </c>
      <c r="L41" s="18">
        <v>45308</v>
      </c>
      <c r="M41" s="13">
        <f>DATEVALUE(TEXT(L41,"mm/dd/yy"))</f>
        <v>45308</v>
      </c>
      <c r="N41" s="17">
        <f>'Electronic Shop Sales Dataset'!$D41*'Electronic Shop Sales Dataset'!$E41</f>
        <v>1217.54</v>
      </c>
      <c r="O41" s="12" cm="1">
        <f t="array" ref="O41">_xlfn.IFS($K41="Website",$N41*0.05, $K41="Mobile App",$N41*0.05,TRUE,0)</f>
        <v>0</v>
      </c>
      <c r="P41" s="14" t="str">
        <f>IF(COUNTIF($G$2:G616,G41)&gt;1,"Returning","New")</f>
        <v>New</v>
      </c>
      <c r="Q41" s="24" t="str">
        <f t="shared" si="0"/>
        <v>January</v>
      </c>
      <c r="R41" t="str">
        <v>New Arrival</v>
      </c>
      <c r="W41" t="str">
        <v>California</v>
      </c>
    </row>
    <row r="42" spans="1:23" x14ac:dyDescent="0.25">
      <c r="A42" s="10" t="s">
        <v>19</v>
      </c>
      <c r="B42" s="11" t="str">
        <f>'Electronic Shop Sales Dataset'!$A42&amp;"-"&amp;'Electronic Shop Sales Dataset'!$C42</f>
        <v>P00003-Drone</v>
      </c>
      <c r="C42" s="11" t="s">
        <v>20</v>
      </c>
      <c r="D42" s="12">
        <v>2677.86</v>
      </c>
      <c r="E42" s="11">
        <v>2</v>
      </c>
      <c r="F42" s="11" t="s">
        <v>33</v>
      </c>
      <c r="G42" s="11" t="s">
        <v>301</v>
      </c>
      <c r="H42" s="11" t="s">
        <v>104</v>
      </c>
      <c r="I42" s="11">
        <v>61.370716000000002</v>
      </c>
      <c r="J42" s="11">
        <v>-152.40441899999999</v>
      </c>
      <c r="K42" s="11" t="s">
        <v>48</v>
      </c>
      <c r="L42" s="13">
        <v>45308</v>
      </c>
      <c r="M42" s="13">
        <f>DATEVALUE(TEXT(L42,"mm/dd/yy"))</f>
        <v>45308</v>
      </c>
      <c r="N42" s="12">
        <f>'Electronic Shop Sales Dataset'!$D42*'Electronic Shop Sales Dataset'!$E42</f>
        <v>5355.72</v>
      </c>
      <c r="O42" s="12" cm="1">
        <f t="array" ref="O42">_xlfn.IFS($K42="Website",$N42*0.05, $K42="Mobile App",$N42*0.05,TRUE,0)</f>
        <v>267.786</v>
      </c>
      <c r="P42" s="14" t="str">
        <f>IF(COUNTIF($G$2:G617,G42)&gt;1,"Returning","New")</f>
        <v>New</v>
      </c>
      <c r="Q42" s="24" t="str">
        <f t="shared" si="0"/>
        <v>January</v>
      </c>
      <c r="R42" t="str">
        <v>New Arrival</v>
      </c>
      <c r="W42" t="str">
        <v>Georgia</v>
      </c>
    </row>
    <row r="43" spans="1:23" x14ac:dyDescent="0.25">
      <c r="A43" s="15" t="s">
        <v>88</v>
      </c>
      <c r="B43" s="16" t="str">
        <f>'Electronic Shop Sales Dataset'!$A43&amp;"-"&amp;'Electronic Shop Sales Dataset'!$C43</f>
        <v>P00018-Smart TV</v>
      </c>
      <c r="C43" s="16" t="s">
        <v>74</v>
      </c>
      <c r="D43" s="17">
        <v>1887.14</v>
      </c>
      <c r="E43" s="16">
        <v>2</v>
      </c>
      <c r="F43" s="16" t="s">
        <v>33</v>
      </c>
      <c r="G43" s="16" t="s">
        <v>302</v>
      </c>
      <c r="H43" s="16" t="s">
        <v>107</v>
      </c>
      <c r="I43" s="16">
        <v>38.526600000000002</v>
      </c>
      <c r="J43" s="16">
        <v>-96.726485999999994</v>
      </c>
      <c r="K43" s="16" t="s">
        <v>23</v>
      </c>
      <c r="L43" s="18">
        <v>45308</v>
      </c>
      <c r="M43" s="13">
        <f>DATEVALUE(TEXT(L43,"mm/dd/yy"))</f>
        <v>45308</v>
      </c>
      <c r="N43" s="17">
        <f>'Electronic Shop Sales Dataset'!$D43*'Electronic Shop Sales Dataset'!$E43</f>
        <v>3774.28</v>
      </c>
      <c r="O43" s="12" cm="1">
        <f t="array" ref="O43">_xlfn.IFS($K43="Website",$N43*0.05, $K43="Mobile App",$N43*0.05,TRUE,0)</f>
        <v>0</v>
      </c>
      <c r="P43" s="14" t="str">
        <f>IF(COUNTIF($G$2:G618,G43)&gt;1,"Returning","New")</f>
        <v>New</v>
      </c>
      <c r="Q43" s="24" t="str">
        <f t="shared" si="0"/>
        <v>January</v>
      </c>
      <c r="R43" t="str">
        <v>New Arrival</v>
      </c>
      <c r="W43" t="str">
        <v>Nevada</v>
      </c>
    </row>
    <row r="44" spans="1:23" x14ac:dyDescent="0.25">
      <c r="A44" s="10" t="s">
        <v>11</v>
      </c>
      <c r="B44" s="11" t="str">
        <f>'Electronic Shop Sales Dataset'!$A44&amp;"-"&amp;'Electronic Shop Sales Dataset'!$C44</f>
        <v>P00019-Projector</v>
      </c>
      <c r="C44" s="11" t="s">
        <v>65</v>
      </c>
      <c r="D44" s="12">
        <v>577.48</v>
      </c>
      <c r="E44" s="11">
        <v>3</v>
      </c>
      <c r="F44" s="11" t="s">
        <v>43</v>
      </c>
      <c r="G44" s="11" t="s">
        <v>303</v>
      </c>
      <c r="H44" s="11" t="s">
        <v>40</v>
      </c>
      <c r="I44" s="11">
        <v>44.572020999999999</v>
      </c>
      <c r="J44" s="11">
        <v>-122.070938</v>
      </c>
      <c r="K44" s="11" t="s">
        <v>15</v>
      </c>
      <c r="L44" s="13">
        <v>45308</v>
      </c>
      <c r="M44" s="13">
        <f>DATEVALUE(TEXT(L44,"mm/dd/yy"))</f>
        <v>45308</v>
      </c>
      <c r="N44" s="12">
        <f>'Electronic Shop Sales Dataset'!$D44*'Electronic Shop Sales Dataset'!$E44</f>
        <v>1732.44</v>
      </c>
      <c r="O44" s="12" cm="1">
        <f t="array" ref="O44">_xlfn.IFS($K44="Website",$N44*0.05, $K44="Mobile App",$N44*0.05,TRUE,0)</f>
        <v>0</v>
      </c>
      <c r="P44" s="14" t="str">
        <f>IF(COUNTIF($G$2:G619,G44)&gt;1,"Returning","New")</f>
        <v>New</v>
      </c>
      <c r="Q44" s="24" t="str">
        <f t="shared" si="0"/>
        <v>January</v>
      </c>
      <c r="R44" t="str">
        <v>New Arrival</v>
      </c>
      <c r="W44" t="str">
        <v>North Dakota</v>
      </c>
    </row>
    <row r="45" spans="1:23" x14ac:dyDescent="0.25">
      <c r="A45" s="15" t="s">
        <v>64</v>
      </c>
      <c r="B45" s="16" t="str">
        <f>'Electronic Shop Sales Dataset'!$A45&amp;"-"&amp;'Electronic Shop Sales Dataset'!$C45</f>
        <v>P00011-Router</v>
      </c>
      <c r="C45" s="16" t="s">
        <v>39</v>
      </c>
      <c r="D45" s="17">
        <v>88.29</v>
      </c>
      <c r="E45" s="16">
        <v>5</v>
      </c>
      <c r="F45" s="16" t="s">
        <v>43</v>
      </c>
      <c r="G45" s="16" t="s">
        <v>304</v>
      </c>
      <c r="H45" s="16" t="s">
        <v>76</v>
      </c>
      <c r="I45" s="16">
        <v>33.856892000000002</v>
      </c>
      <c r="J45" s="16">
        <v>-80.945007000000004</v>
      </c>
      <c r="K45" s="16" t="s">
        <v>27</v>
      </c>
      <c r="L45" s="18">
        <v>45309</v>
      </c>
      <c r="M45" s="13">
        <f>DATEVALUE(TEXT(L45,"mm/dd/yy"))</f>
        <v>45309</v>
      </c>
      <c r="N45" s="17">
        <f>'Electronic Shop Sales Dataset'!$D45*'Electronic Shop Sales Dataset'!$E45</f>
        <v>441.45000000000005</v>
      </c>
      <c r="O45" s="12" cm="1">
        <f t="array" ref="O45">_xlfn.IFS($K45="Website",$N45*0.05, $K45="Mobile App",$N45*0.05,TRUE,0)</f>
        <v>0</v>
      </c>
      <c r="P45" s="14" t="str">
        <f>IF(COUNTIF($G$2:G620,G45)&gt;1,"Returning","New")</f>
        <v>New</v>
      </c>
      <c r="Q45" s="24" t="str">
        <f t="shared" si="0"/>
        <v>January</v>
      </c>
      <c r="R45" t="str">
        <v>New Arrival</v>
      </c>
      <c r="W45" t="str">
        <v>Kentucky</v>
      </c>
    </row>
    <row r="46" spans="1:23" x14ac:dyDescent="0.25">
      <c r="A46" s="10" t="s">
        <v>84</v>
      </c>
      <c r="B46" s="11" t="str">
        <f>'Electronic Shop Sales Dataset'!$A46&amp;"-"&amp;'Electronic Shop Sales Dataset'!$C46</f>
        <v>P00020-Speaker</v>
      </c>
      <c r="C46" s="11" t="s">
        <v>106</v>
      </c>
      <c r="D46" s="12">
        <v>445.64</v>
      </c>
      <c r="E46" s="11">
        <v>2</v>
      </c>
      <c r="F46" s="11" t="s">
        <v>13</v>
      </c>
      <c r="G46" s="11" t="s">
        <v>305</v>
      </c>
      <c r="H46" s="11" t="s">
        <v>146</v>
      </c>
      <c r="I46" s="11">
        <v>40.590752000000002</v>
      </c>
      <c r="J46" s="11">
        <v>-77.209755000000001</v>
      </c>
      <c r="K46" s="11" t="s">
        <v>27</v>
      </c>
      <c r="L46" s="13">
        <v>45309</v>
      </c>
      <c r="M46" s="13">
        <f>DATEVALUE(TEXT(L46,"mm/dd/yy"))</f>
        <v>45309</v>
      </c>
      <c r="N46" s="12">
        <f>'Electronic Shop Sales Dataset'!$D46*'Electronic Shop Sales Dataset'!$E46</f>
        <v>891.28</v>
      </c>
      <c r="O46" s="12" cm="1">
        <f t="array" ref="O46">_xlfn.IFS($K46="Website",$N46*0.05, $K46="Mobile App",$N46*0.05,TRUE,0)</f>
        <v>0</v>
      </c>
      <c r="P46" s="14" t="str">
        <f>IF(COUNTIF($G$2:G621,G46)&gt;1,"Returning","New")</f>
        <v>New</v>
      </c>
      <c r="Q46" s="24" t="str">
        <f t="shared" si="0"/>
        <v>January</v>
      </c>
      <c r="R46" t="str">
        <v>New Arrival</v>
      </c>
      <c r="W46" t="str">
        <v>South Dakota</v>
      </c>
    </row>
    <row r="47" spans="1:23" x14ac:dyDescent="0.25">
      <c r="A47" s="15" t="s">
        <v>61</v>
      </c>
      <c r="B47" s="16" t="str">
        <f>'Electronic Shop Sales Dataset'!$A47&amp;"-"&amp;'Electronic Shop Sales Dataset'!$C47</f>
        <v>P00002-Laptop</v>
      </c>
      <c r="C47" s="16" t="s">
        <v>89</v>
      </c>
      <c r="D47" s="17">
        <v>1751.44</v>
      </c>
      <c r="E47" s="16">
        <v>2</v>
      </c>
      <c r="F47" s="16" t="s">
        <v>33</v>
      </c>
      <c r="G47" s="16" t="s">
        <v>306</v>
      </c>
      <c r="H47" s="16" t="s">
        <v>158</v>
      </c>
      <c r="I47" s="16">
        <v>44.240459000000001</v>
      </c>
      <c r="J47" s="16">
        <v>-114.47882799999999</v>
      </c>
      <c r="K47" s="16" t="s">
        <v>15</v>
      </c>
      <c r="L47" s="18">
        <v>45309</v>
      </c>
      <c r="M47" s="13">
        <f>DATEVALUE(TEXT(L47,"mm/dd/yy"))</f>
        <v>45309</v>
      </c>
      <c r="N47" s="17">
        <f>'Electronic Shop Sales Dataset'!$D47*'Electronic Shop Sales Dataset'!$E47</f>
        <v>3502.88</v>
      </c>
      <c r="O47" s="12" cm="1">
        <f t="array" ref="O47">_xlfn.IFS($K47="Website",$N47*0.05, $K47="Mobile App",$N47*0.05,TRUE,0)</f>
        <v>0</v>
      </c>
      <c r="P47" s="14" t="str">
        <f>IF(COUNTIF($G$2:G622,G47)&gt;1,"Returning","New")</f>
        <v>New</v>
      </c>
      <c r="Q47" s="24" t="str">
        <f t="shared" si="0"/>
        <v>January</v>
      </c>
      <c r="R47" t="str">
        <v>Old Stock</v>
      </c>
      <c r="W47" t="str">
        <v>Iowa</v>
      </c>
    </row>
    <row r="48" spans="1:23" x14ac:dyDescent="0.25">
      <c r="A48" s="10" t="s">
        <v>16</v>
      </c>
      <c r="B48" s="11" t="str">
        <f>'Electronic Shop Sales Dataset'!$A48&amp;"-"&amp;'Electronic Shop Sales Dataset'!$C48</f>
        <v>P00010-Router</v>
      </c>
      <c r="C48" s="11" t="s">
        <v>39</v>
      </c>
      <c r="D48" s="12">
        <v>110.85</v>
      </c>
      <c r="E48" s="11">
        <v>1</v>
      </c>
      <c r="F48" s="11" t="s">
        <v>33</v>
      </c>
      <c r="G48" s="11" t="s">
        <v>307</v>
      </c>
      <c r="H48" s="11" t="s">
        <v>82</v>
      </c>
      <c r="I48" s="11">
        <v>44.268543000000001</v>
      </c>
      <c r="J48" s="11">
        <v>-89.616507999999996</v>
      </c>
      <c r="K48" s="11" t="s">
        <v>15</v>
      </c>
      <c r="L48" s="13">
        <v>45311</v>
      </c>
      <c r="M48" s="13">
        <f>DATEVALUE(TEXT(L48,"mm/dd/yy"))</f>
        <v>45311</v>
      </c>
      <c r="N48" s="12">
        <f>'Electronic Shop Sales Dataset'!$D48*'Electronic Shop Sales Dataset'!$E48</f>
        <v>110.85</v>
      </c>
      <c r="O48" s="12" cm="1">
        <f t="array" ref="O48">_xlfn.IFS($K48="Website",$N48*0.05, $K48="Mobile App",$N48*0.05,TRUE,0)</f>
        <v>0</v>
      </c>
      <c r="P48" s="14" t="str">
        <f>IF(COUNTIF($G$2:G623,G48)&gt;1,"Returning","New")</f>
        <v>New</v>
      </c>
      <c r="Q48" s="24" t="str">
        <f t="shared" si="0"/>
        <v>January</v>
      </c>
      <c r="R48" t="str">
        <v>New Arrival</v>
      </c>
      <c r="W48" t="str">
        <v>Maryland</v>
      </c>
    </row>
    <row r="49" spans="1:23" x14ac:dyDescent="0.25">
      <c r="A49" s="15" t="s">
        <v>60</v>
      </c>
      <c r="B49" s="16" t="str">
        <f>'Electronic Shop Sales Dataset'!$A49&amp;"-"&amp;'Electronic Shop Sales Dataset'!$C49</f>
        <v>P00015-VR Headset</v>
      </c>
      <c r="C49" s="16" t="s">
        <v>72</v>
      </c>
      <c r="D49" s="17">
        <v>976.82</v>
      </c>
      <c r="E49" s="16">
        <v>4</v>
      </c>
      <c r="F49" s="16" t="s">
        <v>43</v>
      </c>
      <c r="G49" s="16" t="s">
        <v>308</v>
      </c>
      <c r="H49" s="16" t="s">
        <v>57</v>
      </c>
      <c r="I49" s="16">
        <v>40.150032000000003</v>
      </c>
      <c r="J49" s="16">
        <v>-111.86243399999999</v>
      </c>
      <c r="K49" s="16" t="s">
        <v>27</v>
      </c>
      <c r="L49" s="18">
        <v>45311</v>
      </c>
      <c r="M49" s="13">
        <f>DATEVALUE(TEXT(L49,"mm/dd/yy"))</f>
        <v>45311</v>
      </c>
      <c r="N49" s="17">
        <f>'Electronic Shop Sales Dataset'!$D49*'Electronic Shop Sales Dataset'!$E49</f>
        <v>3907.28</v>
      </c>
      <c r="O49" s="12" cm="1">
        <f t="array" ref="O49">_xlfn.IFS($K49="Website",$N49*0.05, $K49="Mobile App",$N49*0.05,TRUE,0)</f>
        <v>0</v>
      </c>
      <c r="P49" s="14" t="str">
        <f>IF(COUNTIF($G$2:G624,G49)&gt;1,"Returning","New")</f>
        <v>New</v>
      </c>
      <c r="Q49" s="24" t="str">
        <f t="shared" si="0"/>
        <v>January</v>
      </c>
      <c r="R49" t="str">
        <v>New Arrival</v>
      </c>
      <c r="W49" t="str">
        <v>Maine</v>
      </c>
    </row>
    <row r="50" spans="1:23" x14ac:dyDescent="0.25">
      <c r="A50" s="10" t="s">
        <v>28</v>
      </c>
      <c r="B50" s="11" t="str">
        <f>'Electronic Shop Sales Dataset'!$A50&amp;"-"&amp;'Electronic Shop Sales Dataset'!$C50</f>
        <v>P00006-Headphones</v>
      </c>
      <c r="C50" s="11" t="s">
        <v>55</v>
      </c>
      <c r="D50" s="12">
        <v>222.21</v>
      </c>
      <c r="E50" s="11">
        <v>4</v>
      </c>
      <c r="F50" s="11" t="s">
        <v>43</v>
      </c>
      <c r="G50" s="11" t="s">
        <v>309</v>
      </c>
      <c r="H50" s="11" t="s">
        <v>57</v>
      </c>
      <c r="I50" s="11">
        <v>40.150032000000003</v>
      </c>
      <c r="J50" s="11">
        <v>-111.86243399999999</v>
      </c>
      <c r="K50" s="11" t="s">
        <v>48</v>
      </c>
      <c r="L50" s="13">
        <v>45311</v>
      </c>
      <c r="M50" s="13">
        <f>DATEVALUE(TEXT(L50,"mm/dd/yy"))</f>
        <v>45311</v>
      </c>
      <c r="N50" s="12">
        <f>'Electronic Shop Sales Dataset'!$D50*'Electronic Shop Sales Dataset'!$E50</f>
        <v>888.84</v>
      </c>
      <c r="O50" s="12" cm="1">
        <f t="array" ref="O50">_xlfn.IFS($K50="Website",$N50*0.05, $K50="Mobile App",$N50*0.05,TRUE,0)</f>
        <v>44.442000000000007</v>
      </c>
      <c r="P50" s="14" t="str">
        <f>IF(COUNTIF($G$2:G625,G50)&gt;1,"Returning","New")</f>
        <v>New</v>
      </c>
      <c r="Q50" s="24" t="str">
        <f t="shared" si="0"/>
        <v>January</v>
      </c>
      <c r="R50" t="str">
        <v>New Arrival</v>
      </c>
      <c r="W50" t="str">
        <v>Virginia</v>
      </c>
    </row>
    <row r="51" spans="1:23" x14ac:dyDescent="0.25">
      <c r="A51" s="15" t="s">
        <v>90</v>
      </c>
      <c r="B51" s="16" t="str">
        <f>'Electronic Shop Sales Dataset'!$A51&amp;"-"&amp;'Electronic Shop Sales Dataset'!$C51</f>
        <v>P00014-Router</v>
      </c>
      <c r="C51" s="16" t="s">
        <v>39</v>
      </c>
      <c r="D51" s="17">
        <v>297.58999999999997</v>
      </c>
      <c r="E51" s="16">
        <v>4</v>
      </c>
      <c r="F51" s="16" t="s">
        <v>13</v>
      </c>
      <c r="G51" s="16" t="s">
        <v>310</v>
      </c>
      <c r="H51" s="16" t="s">
        <v>122</v>
      </c>
      <c r="I51" s="16">
        <v>42.755966000000001</v>
      </c>
      <c r="J51" s="16">
        <v>-107.30249000000001</v>
      </c>
      <c r="K51" s="16" t="s">
        <v>48</v>
      </c>
      <c r="L51" s="18">
        <v>45311</v>
      </c>
      <c r="M51" s="13">
        <f>DATEVALUE(TEXT(L51,"mm/dd/yy"))</f>
        <v>45311</v>
      </c>
      <c r="N51" s="17">
        <f>'Electronic Shop Sales Dataset'!$D51*'Electronic Shop Sales Dataset'!$E51</f>
        <v>1190.3599999999999</v>
      </c>
      <c r="O51" s="12" cm="1">
        <f t="array" ref="O51">_xlfn.IFS($K51="Website",$N51*0.05, $K51="Mobile App",$N51*0.05,TRUE,0)</f>
        <v>59.518000000000001</v>
      </c>
      <c r="P51" s="14" t="str">
        <f>IF(COUNTIF($G$2:G626,G51)&gt;1,"Returning","New")</f>
        <v>New</v>
      </c>
      <c r="Q51" s="24" t="str">
        <f t="shared" si="0"/>
        <v>January</v>
      </c>
      <c r="R51" t="str">
        <v>New Arrival</v>
      </c>
      <c r="W51" t="str">
        <v>Nebraska</v>
      </c>
    </row>
    <row r="52" spans="1:23" x14ac:dyDescent="0.25">
      <c r="A52" s="10" t="s">
        <v>19</v>
      </c>
      <c r="B52" s="11" t="str">
        <f>'Electronic Shop Sales Dataset'!$A52&amp;"-"&amp;'Electronic Shop Sales Dataset'!$C52</f>
        <v>P00003-Router</v>
      </c>
      <c r="C52" s="11" t="s">
        <v>39</v>
      </c>
      <c r="D52" s="12">
        <v>146.51</v>
      </c>
      <c r="E52" s="11">
        <v>1</v>
      </c>
      <c r="F52" s="11" t="s">
        <v>43</v>
      </c>
      <c r="G52" s="11" t="s">
        <v>311</v>
      </c>
      <c r="H52" s="11" t="s">
        <v>67</v>
      </c>
      <c r="I52" s="11">
        <v>46.921925000000002</v>
      </c>
      <c r="J52" s="11">
        <v>-110.454353</v>
      </c>
      <c r="K52" s="11" t="s">
        <v>27</v>
      </c>
      <c r="L52" s="13">
        <v>45312</v>
      </c>
      <c r="M52" s="13">
        <f>DATEVALUE(TEXT(L52,"mm/dd/yy"))</f>
        <v>45312</v>
      </c>
      <c r="N52" s="12">
        <f>'Electronic Shop Sales Dataset'!$D52*'Electronic Shop Sales Dataset'!$E52</f>
        <v>146.51</v>
      </c>
      <c r="O52" s="12" cm="1">
        <f t="array" ref="O52">_xlfn.IFS($K52="Website",$N52*0.05, $K52="Mobile App",$N52*0.05,TRUE,0)</f>
        <v>0</v>
      </c>
      <c r="P52" s="14" t="str">
        <f>IF(COUNTIF($G$2:G627,G52)&gt;1,"Returning","New")</f>
        <v>New</v>
      </c>
      <c r="Q52" s="24" t="str">
        <f t="shared" si="0"/>
        <v>January</v>
      </c>
      <c r="R52" t="str">
        <v>New Arrival</v>
      </c>
      <c r="W52" t="str">
        <v>New York</v>
      </c>
    </row>
    <row r="53" spans="1:23" x14ac:dyDescent="0.25">
      <c r="A53" s="15" t="s">
        <v>90</v>
      </c>
      <c r="B53" s="16" t="str">
        <f>'Electronic Shop Sales Dataset'!$A53&amp;"-"&amp;'Electronic Shop Sales Dataset'!$C53</f>
        <v>P00014-USB Drive</v>
      </c>
      <c r="C53" s="16" t="s">
        <v>36</v>
      </c>
      <c r="D53" s="17">
        <v>26.81</v>
      </c>
      <c r="E53" s="16">
        <v>2</v>
      </c>
      <c r="F53" s="16" t="s">
        <v>33</v>
      </c>
      <c r="G53" s="16" t="s">
        <v>312</v>
      </c>
      <c r="H53" s="16" t="s">
        <v>70</v>
      </c>
      <c r="I53" s="16">
        <v>39.849426000000001</v>
      </c>
      <c r="J53" s="16">
        <v>-86.258278000000004</v>
      </c>
      <c r="K53" s="16" t="s">
        <v>54</v>
      </c>
      <c r="L53" s="18">
        <v>45312</v>
      </c>
      <c r="M53" s="13">
        <f>DATEVALUE(TEXT(L53,"mm/dd/yy"))</f>
        <v>45312</v>
      </c>
      <c r="N53" s="17">
        <f>'Electronic Shop Sales Dataset'!$D53*'Electronic Shop Sales Dataset'!$E53</f>
        <v>53.62</v>
      </c>
      <c r="O53" s="12" cm="1">
        <f t="array" ref="O53">_xlfn.IFS($K53="Website",$N53*0.05, $K53="Mobile App",$N53*0.05,TRUE,0)</f>
        <v>2.681</v>
      </c>
      <c r="P53" s="14" t="str">
        <f>IF(COUNTIF($G$2:G628,G53)&gt;1,"Returning","New")</f>
        <v>New</v>
      </c>
      <c r="Q53" s="24" t="str">
        <f t="shared" si="0"/>
        <v>January</v>
      </c>
      <c r="R53" t="str">
        <v>New Arrival</v>
      </c>
    </row>
    <row r="54" spans="1:23" x14ac:dyDescent="0.25">
      <c r="A54" s="10" t="s">
        <v>24</v>
      </c>
      <c r="B54" s="11" t="str">
        <f>'Electronic Shop Sales Dataset'!$A54&amp;"-"&amp;'Electronic Shop Sales Dataset'!$C54</f>
        <v>P00013-Printer</v>
      </c>
      <c r="C54" s="11" t="s">
        <v>52</v>
      </c>
      <c r="D54" s="12">
        <v>458.57</v>
      </c>
      <c r="E54" s="11">
        <v>5</v>
      </c>
      <c r="F54" s="11" t="s">
        <v>33</v>
      </c>
      <c r="G54" s="11" t="s">
        <v>313</v>
      </c>
      <c r="H54" s="11" t="s">
        <v>115</v>
      </c>
      <c r="I54" s="11">
        <v>38.456085000000002</v>
      </c>
      <c r="J54" s="11">
        <v>-92.288368000000006</v>
      </c>
      <c r="K54" s="11" t="s">
        <v>27</v>
      </c>
      <c r="L54" s="13">
        <v>45312</v>
      </c>
      <c r="M54" s="13">
        <f>DATEVALUE(TEXT(L54,"mm/dd/yy"))</f>
        <v>45312</v>
      </c>
      <c r="N54" s="12">
        <f>'Electronic Shop Sales Dataset'!$D54*'Electronic Shop Sales Dataset'!$E54</f>
        <v>2292.85</v>
      </c>
      <c r="O54" s="12" cm="1">
        <f t="array" ref="O54">_xlfn.IFS($K54="Website",$N54*0.05, $K54="Mobile App",$N54*0.05,TRUE,0)</f>
        <v>0</v>
      </c>
      <c r="P54" s="14" t="str">
        <f>IF(COUNTIF($G$2:G629,G54)&gt;1,"Returning","New")</f>
        <v>New</v>
      </c>
      <c r="Q54" s="24" t="str">
        <f t="shared" si="0"/>
        <v>January</v>
      </c>
      <c r="R54" t="str">
        <v>New Arrival</v>
      </c>
    </row>
    <row r="55" spans="1:23" x14ac:dyDescent="0.25">
      <c r="A55" s="15" t="s">
        <v>69</v>
      </c>
      <c r="B55" s="16" t="str">
        <f>'Electronic Shop Sales Dataset'!$A55&amp;"-"&amp;'Electronic Shop Sales Dataset'!$C55</f>
        <v>P00005-Smart Home Hub</v>
      </c>
      <c r="C55" s="16" t="s">
        <v>42</v>
      </c>
      <c r="D55" s="17">
        <v>130.91999999999999</v>
      </c>
      <c r="E55" s="16">
        <v>3</v>
      </c>
      <c r="F55" s="16" t="s">
        <v>21</v>
      </c>
      <c r="G55" s="16" t="s">
        <v>314</v>
      </c>
      <c r="H55" s="16" t="s">
        <v>14</v>
      </c>
      <c r="I55" s="16">
        <v>42.230170999999999</v>
      </c>
      <c r="J55" s="16">
        <v>-71.530106000000004</v>
      </c>
      <c r="K55" s="16" t="s">
        <v>23</v>
      </c>
      <c r="L55" s="18">
        <v>45313</v>
      </c>
      <c r="M55" s="13">
        <f>DATEVALUE(TEXT(L55,"mm/dd/yy"))</f>
        <v>45313</v>
      </c>
      <c r="N55" s="17">
        <f>'Electronic Shop Sales Dataset'!$D55*'Electronic Shop Sales Dataset'!$E55</f>
        <v>392.76</v>
      </c>
      <c r="O55" s="12" cm="1">
        <f t="array" ref="O55">_xlfn.IFS($K55="Website",$N55*0.05, $K55="Mobile App",$N55*0.05,TRUE,0)</f>
        <v>0</v>
      </c>
      <c r="P55" s="14" t="str">
        <f>IF(COUNTIF($G$2:G630,G55)&gt;1,"Returning","New")</f>
        <v>New</v>
      </c>
      <c r="Q55" s="24" t="str">
        <f t="shared" si="0"/>
        <v>January</v>
      </c>
      <c r="R55" t="str">
        <v>New Arrival</v>
      </c>
    </row>
    <row r="56" spans="1:23" x14ac:dyDescent="0.25">
      <c r="A56" s="10" t="s">
        <v>117</v>
      </c>
      <c r="B56" s="11" t="str">
        <f>'Electronic Shop Sales Dataset'!$A56&amp;"-"&amp;'Electronic Shop Sales Dataset'!$C56</f>
        <v>P00016-Camera</v>
      </c>
      <c r="C56" s="11" t="s">
        <v>46</v>
      </c>
      <c r="D56" s="12">
        <v>2680.21</v>
      </c>
      <c r="E56" s="11">
        <v>2</v>
      </c>
      <c r="F56" s="11" t="s">
        <v>13</v>
      </c>
      <c r="G56" s="11" t="s">
        <v>315</v>
      </c>
      <c r="H56" s="11" t="s">
        <v>101</v>
      </c>
      <c r="I56" s="11">
        <v>21.094318000000001</v>
      </c>
      <c r="J56" s="11">
        <v>-157.49833699999999</v>
      </c>
      <c r="K56" s="11" t="s">
        <v>23</v>
      </c>
      <c r="L56" s="13">
        <v>45314</v>
      </c>
      <c r="M56" s="13">
        <f>DATEVALUE(TEXT(L56,"mm/dd/yy"))</f>
        <v>45314</v>
      </c>
      <c r="N56" s="12">
        <f>'Electronic Shop Sales Dataset'!$D56*'Electronic Shop Sales Dataset'!$E56</f>
        <v>5360.42</v>
      </c>
      <c r="O56" s="12" cm="1">
        <f t="array" ref="O56">_xlfn.IFS($K56="Website",$N56*0.05, $K56="Mobile App",$N56*0.05,TRUE,0)</f>
        <v>0</v>
      </c>
      <c r="P56" s="14" t="str">
        <f>IF(COUNTIF($G$2:G631,G56)&gt;1,"Returning","New")</f>
        <v>New</v>
      </c>
      <c r="Q56" s="24" t="str">
        <f t="shared" si="0"/>
        <v>January</v>
      </c>
      <c r="R56" t="str">
        <v>New Arrival</v>
      </c>
    </row>
    <row r="57" spans="1:23" x14ac:dyDescent="0.25">
      <c r="A57" s="15" t="s">
        <v>24</v>
      </c>
      <c r="B57" s="16" t="str">
        <f>'Electronic Shop Sales Dataset'!$A57&amp;"-"&amp;'Electronic Shop Sales Dataset'!$C57</f>
        <v>P00013-Smart Home Hub</v>
      </c>
      <c r="C57" s="16" t="s">
        <v>42</v>
      </c>
      <c r="D57" s="17">
        <v>228.1</v>
      </c>
      <c r="E57" s="16">
        <v>3</v>
      </c>
      <c r="F57" s="16" t="s">
        <v>43</v>
      </c>
      <c r="G57" s="16" t="s">
        <v>316</v>
      </c>
      <c r="H57" s="16" t="s">
        <v>67</v>
      </c>
      <c r="I57" s="16">
        <v>46.921925000000002</v>
      </c>
      <c r="J57" s="16">
        <v>-110.454353</v>
      </c>
      <c r="K57" s="16" t="s">
        <v>23</v>
      </c>
      <c r="L57" s="18">
        <v>45315</v>
      </c>
      <c r="M57" s="13">
        <f>DATEVALUE(TEXT(L57,"mm/dd/yy"))</f>
        <v>45315</v>
      </c>
      <c r="N57" s="17">
        <f>'Electronic Shop Sales Dataset'!$D57*'Electronic Shop Sales Dataset'!$E57</f>
        <v>684.3</v>
      </c>
      <c r="O57" s="12" cm="1">
        <f t="array" ref="O57">_xlfn.IFS($K57="Website",$N57*0.05, $K57="Mobile App",$N57*0.05,TRUE,0)</f>
        <v>0</v>
      </c>
      <c r="P57" s="14" t="str">
        <f>IF(COUNTIF($G$2:G632,G57)&gt;1,"Returning","New")</f>
        <v>New</v>
      </c>
      <c r="Q57" s="24" t="str">
        <f t="shared" si="0"/>
        <v>January</v>
      </c>
      <c r="R57" t="str">
        <v>New Arrival</v>
      </c>
    </row>
    <row r="58" spans="1:23" x14ac:dyDescent="0.25">
      <c r="A58" s="10" t="s">
        <v>38</v>
      </c>
      <c r="B58" s="11" t="str">
        <f>'Electronic Shop Sales Dataset'!$A58&amp;"-"&amp;'Electronic Shop Sales Dataset'!$C58</f>
        <v>P00007-Camera</v>
      </c>
      <c r="C58" s="11" t="s">
        <v>46</v>
      </c>
      <c r="D58" s="12">
        <v>1365.9</v>
      </c>
      <c r="E58" s="11">
        <v>2</v>
      </c>
      <c r="F58" s="11" t="s">
        <v>13</v>
      </c>
      <c r="G58" s="11" t="s">
        <v>317</v>
      </c>
      <c r="H58" s="11" t="s">
        <v>101</v>
      </c>
      <c r="I58" s="11">
        <v>21.094318000000001</v>
      </c>
      <c r="J58" s="11">
        <v>-157.49833699999999</v>
      </c>
      <c r="K58" s="11" t="s">
        <v>54</v>
      </c>
      <c r="L58" s="13">
        <v>45315</v>
      </c>
      <c r="M58" s="13">
        <f>DATEVALUE(TEXT(L58,"mm/dd/yy"))</f>
        <v>45315</v>
      </c>
      <c r="N58" s="12">
        <f>'Electronic Shop Sales Dataset'!$D58*'Electronic Shop Sales Dataset'!$E58</f>
        <v>2731.8</v>
      </c>
      <c r="O58" s="12" cm="1">
        <f t="array" ref="O58">_xlfn.IFS($K58="Website",$N58*0.05, $K58="Mobile App",$N58*0.05,TRUE,0)</f>
        <v>136.59</v>
      </c>
      <c r="P58" s="14" t="str">
        <f>IF(COUNTIF($G$2:G633,G58)&gt;1,"Returning","New")</f>
        <v>New</v>
      </c>
      <c r="Q58" s="24" t="str">
        <f t="shared" si="0"/>
        <v>January</v>
      </c>
      <c r="R58" t="str">
        <v>New Arrival</v>
      </c>
    </row>
    <row r="59" spans="1:23" x14ac:dyDescent="0.25">
      <c r="A59" s="15" t="s">
        <v>60</v>
      </c>
      <c r="B59" s="16" t="str">
        <f>'Electronic Shop Sales Dataset'!$A59&amp;"-"&amp;'Electronic Shop Sales Dataset'!$C59</f>
        <v>P00015-Smart TV</v>
      </c>
      <c r="C59" s="16" t="s">
        <v>74</v>
      </c>
      <c r="D59" s="17">
        <v>684.64</v>
      </c>
      <c r="E59" s="16">
        <v>3</v>
      </c>
      <c r="F59" s="16" t="s">
        <v>33</v>
      </c>
      <c r="G59" s="16" t="s">
        <v>318</v>
      </c>
      <c r="H59" s="16" t="s">
        <v>47</v>
      </c>
      <c r="I59" s="16">
        <v>44.045876</v>
      </c>
      <c r="J59" s="16">
        <v>-72.710685999999995</v>
      </c>
      <c r="K59" s="16" t="s">
        <v>15</v>
      </c>
      <c r="L59" s="18">
        <v>45315</v>
      </c>
      <c r="M59" s="13">
        <f>DATEVALUE(TEXT(L59,"mm/dd/yy"))</f>
        <v>45315</v>
      </c>
      <c r="N59" s="17">
        <f>'Electronic Shop Sales Dataset'!$D59*'Electronic Shop Sales Dataset'!$E59</f>
        <v>2053.92</v>
      </c>
      <c r="O59" s="12" cm="1">
        <f t="array" ref="O59">_xlfn.IFS($K59="Website",$N59*0.05, $K59="Mobile App",$N59*0.05,TRUE,0)</f>
        <v>0</v>
      </c>
      <c r="P59" s="14" t="str">
        <f>IF(COUNTIF($G$2:G634,G59)&gt;1,"Returning","New")</f>
        <v>New</v>
      </c>
      <c r="Q59" s="24" t="str">
        <f t="shared" si="0"/>
        <v>January</v>
      </c>
      <c r="R59" t="str">
        <v>New Arrival</v>
      </c>
    </row>
    <row r="60" spans="1:23" x14ac:dyDescent="0.25">
      <c r="A60" s="10" t="s">
        <v>16</v>
      </c>
      <c r="B60" s="11" t="str">
        <f>'Electronic Shop Sales Dataset'!$A60&amp;"-"&amp;'Electronic Shop Sales Dataset'!$C60</f>
        <v>P00010-VR Headset</v>
      </c>
      <c r="C60" s="11" t="s">
        <v>72</v>
      </c>
      <c r="D60" s="12">
        <v>959.39</v>
      </c>
      <c r="E60" s="11">
        <v>5</v>
      </c>
      <c r="F60" s="11" t="s">
        <v>43</v>
      </c>
      <c r="G60" s="11" t="s">
        <v>319</v>
      </c>
      <c r="H60" s="11" t="s">
        <v>101</v>
      </c>
      <c r="I60" s="11">
        <v>21.094318000000001</v>
      </c>
      <c r="J60" s="11">
        <v>-157.49833699999999</v>
      </c>
      <c r="K60" s="11" t="s">
        <v>54</v>
      </c>
      <c r="L60" s="13">
        <v>45315</v>
      </c>
      <c r="M60" s="13">
        <f>DATEVALUE(TEXT(L60,"mm/dd/yy"))</f>
        <v>45315</v>
      </c>
      <c r="N60" s="12">
        <f>'Electronic Shop Sales Dataset'!$D60*'Electronic Shop Sales Dataset'!$E60</f>
        <v>4796.95</v>
      </c>
      <c r="O60" s="12" cm="1">
        <f t="array" ref="O60">_xlfn.IFS($K60="Website",$N60*0.05, $K60="Mobile App",$N60*0.05,TRUE,0)</f>
        <v>239.8475</v>
      </c>
      <c r="P60" s="14" t="str">
        <f>IF(COUNTIF($G$2:G635,G60)&gt;1,"Returning","New")</f>
        <v>New</v>
      </c>
      <c r="Q60" s="24" t="str">
        <f t="shared" si="0"/>
        <v>January</v>
      </c>
      <c r="R60" t="str">
        <v>New Arrival</v>
      </c>
    </row>
    <row r="61" spans="1:23" x14ac:dyDescent="0.25">
      <c r="A61" s="15" t="s">
        <v>86</v>
      </c>
      <c r="B61" s="16" t="str">
        <f>'Electronic Shop Sales Dataset'!$A61&amp;"-"&amp;'Electronic Shop Sales Dataset'!$C61</f>
        <v>P00021-Drone</v>
      </c>
      <c r="C61" s="16" t="s">
        <v>20</v>
      </c>
      <c r="D61" s="17">
        <v>1560.64</v>
      </c>
      <c r="E61" s="16">
        <v>4</v>
      </c>
      <c r="F61" s="16" t="s">
        <v>33</v>
      </c>
      <c r="G61" s="16" t="s">
        <v>320</v>
      </c>
      <c r="H61" s="16" t="s">
        <v>40</v>
      </c>
      <c r="I61" s="16">
        <v>44.572020999999999</v>
      </c>
      <c r="J61" s="16">
        <v>-122.070938</v>
      </c>
      <c r="K61" s="16" t="s">
        <v>48</v>
      </c>
      <c r="L61" s="18">
        <v>45315</v>
      </c>
      <c r="M61" s="13">
        <f>DATEVALUE(TEXT(L61,"mm/dd/yy"))</f>
        <v>45315</v>
      </c>
      <c r="N61" s="17">
        <f>'Electronic Shop Sales Dataset'!$D61*'Electronic Shop Sales Dataset'!$E61</f>
        <v>6242.56</v>
      </c>
      <c r="O61" s="12" cm="1">
        <f t="array" ref="O61">_xlfn.IFS($K61="Website",$N61*0.05, $K61="Mobile App",$N61*0.05,TRUE,0)</f>
        <v>312.12800000000004</v>
      </c>
      <c r="P61" s="14" t="str">
        <f>IF(COUNTIF($G$2:G636,G61)&gt;1,"Returning","New")</f>
        <v>New</v>
      </c>
      <c r="Q61" s="24" t="str">
        <f t="shared" si="0"/>
        <v>January</v>
      </c>
      <c r="R61" t="str">
        <v>New Arrival</v>
      </c>
    </row>
    <row r="62" spans="1:23" x14ac:dyDescent="0.25">
      <c r="A62" s="10" t="s">
        <v>24</v>
      </c>
      <c r="B62" s="11" t="str">
        <f>'Electronic Shop Sales Dataset'!$A62&amp;"-"&amp;'Electronic Shop Sales Dataset'!$C62</f>
        <v>P00013-Monitor</v>
      </c>
      <c r="C62" s="11" t="s">
        <v>25</v>
      </c>
      <c r="D62" s="12">
        <v>847.39</v>
      </c>
      <c r="E62" s="11">
        <v>3</v>
      </c>
      <c r="F62" s="11" t="s">
        <v>13</v>
      </c>
      <c r="G62" s="11" t="s">
        <v>321</v>
      </c>
      <c r="H62" s="11" t="s">
        <v>40</v>
      </c>
      <c r="I62" s="11">
        <v>44.572020999999999</v>
      </c>
      <c r="J62" s="11">
        <v>-122.070938</v>
      </c>
      <c r="K62" s="11" t="s">
        <v>27</v>
      </c>
      <c r="L62" s="13">
        <v>45315</v>
      </c>
      <c r="M62" s="13">
        <f>DATEVALUE(TEXT(L62,"mm/dd/yy"))</f>
        <v>45315</v>
      </c>
      <c r="N62" s="12">
        <f>'Electronic Shop Sales Dataset'!$D62*'Electronic Shop Sales Dataset'!$E62</f>
        <v>2542.17</v>
      </c>
      <c r="O62" s="12" cm="1">
        <f t="array" ref="O62">_xlfn.IFS($K62="Website",$N62*0.05, $K62="Mobile App",$N62*0.05,TRUE,0)</f>
        <v>0</v>
      </c>
      <c r="P62" s="14" t="str">
        <f>IF(COUNTIF($G$2:G637,G62)&gt;1,"Returning","New")</f>
        <v>New</v>
      </c>
      <c r="Q62" s="24" t="str">
        <f t="shared" si="0"/>
        <v>January</v>
      </c>
      <c r="R62" t="str">
        <v>New Arrival</v>
      </c>
    </row>
    <row r="63" spans="1:23" x14ac:dyDescent="0.25">
      <c r="A63" s="15" t="s">
        <v>49</v>
      </c>
      <c r="B63" s="16" t="str">
        <f>'Electronic Shop Sales Dataset'!$A63&amp;"-"&amp;'Electronic Shop Sales Dataset'!$C63</f>
        <v>P00023-Headphones</v>
      </c>
      <c r="C63" s="16" t="s">
        <v>55</v>
      </c>
      <c r="D63" s="17">
        <v>90.8</v>
      </c>
      <c r="E63" s="16">
        <v>4</v>
      </c>
      <c r="F63" s="16" t="s">
        <v>33</v>
      </c>
      <c r="G63" s="16" t="s">
        <v>322</v>
      </c>
      <c r="H63" s="16" t="s">
        <v>26</v>
      </c>
      <c r="I63" s="16">
        <v>35.747844999999998</v>
      </c>
      <c r="J63" s="16">
        <v>-86.692345000000003</v>
      </c>
      <c r="K63" s="16" t="s">
        <v>27</v>
      </c>
      <c r="L63" s="18">
        <v>45316</v>
      </c>
      <c r="M63" s="13">
        <f>DATEVALUE(TEXT(L63,"mm/dd/yy"))</f>
        <v>45316</v>
      </c>
      <c r="N63" s="17">
        <f>'Electronic Shop Sales Dataset'!$D63*'Electronic Shop Sales Dataset'!$E63</f>
        <v>363.2</v>
      </c>
      <c r="O63" s="12" cm="1">
        <f t="array" ref="O63">_xlfn.IFS($K63="Website",$N63*0.05, $K63="Mobile App",$N63*0.05,TRUE,0)</f>
        <v>0</v>
      </c>
      <c r="P63" s="14" t="str">
        <f>IF(COUNTIF($G$2:G638,G63)&gt;1,"Returning","New")</f>
        <v>New</v>
      </c>
      <c r="Q63" s="24" t="str">
        <f t="shared" si="0"/>
        <v>January</v>
      </c>
      <c r="R63" t="str">
        <v>New Arrival</v>
      </c>
    </row>
    <row r="64" spans="1:23" x14ac:dyDescent="0.25">
      <c r="A64" s="10" t="s">
        <v>64</v>
      </c>
      <c r="B64" s="11" t="str">
        <f>'Electronic Shop Sales Dataset'!$A64&amp;"-"&amp;'Electronic Shop Sales Dataset'!$C64</f>
        <v>P00011-Tablet</v>
      </c>
      <c r="C64" s="11" t="s">
        <v>83</v>
      </c>
      <c r="D64" s="12">
        <v>565.91999999999996</v>
      </c>
      <c r="E64" s="11">
        <v>3</v>
      </c>
      <c r="F64" s="11" t="s">
        <v>33</v>
      </c>
      <c r="G64" s="11" t="s">
        <v>323</v>
      </c>
      <c r="H64" s="11" t="s">
        <v>116</v>
      </c>
      <c r="I64" s="11">
        <v>43.452491999999999</v>
      </c>
      <c r="J64" s="11">
        <v>-71.563896</v>
      </c>
      <c r="K64" s="11" t="s">
        <v>23</v>
      </c>
      <c r="L64" s="13">
        <v>45316</v>
      </c>
      <c r="M64" s="13">
        <f>DATEVALUE(TEXT(L64,"mm/dd/yy"))</f>
        <v>45316</v>
      </c>
      <c r="N64" s="12">
        <f>'Electronic Shop Sales Dataset'!$D64*'Electronic Shop Sales Dataset'!$E64</f>
        <v>1697.7599999999998</v>
      </c>
      <c r="O64" s="12" cm="1">
        <f t="array" ref="O64">_xlfn.IFS($K64="Website",$N64*0.05, $K64="Mobile App",$N64*0.05,TRUE,0)</f>
        <v>0</v>
      </c>
      <c r="P64" s="14" t="str">
        <f>IF(COUNTIF($G$2:G639,G64)&gt;1,"Returning","New")</f>
        <v>New</v>
      </c>
      <c r="Q64" s="24" t="str">
        <f t="shared" si="0"/>
        <v>January</v>
      </c>
      <c r="R64" t="str">
        <v>New Arrival</v>
      </c>
    </row>
    <row r="65" spans="1:18" x14ac:dyDescent="0.25">
      <c r="A65" s="15" t="s">
        <v>19</v>
      </c>
      <c r="B65" s="16" t="str">
        <f>'Electronic Shop Sales Dataset'!$A65&amp;"-"&amp;'Electronic Shop Sales Dataset'!$C65</f>
        <v>P00003-Monitor</v>
      </c>
      <c r="C65" s="16" t="s">
        <v>25</v>
      </c>
      <c r="D65" s="17">
        <v>583.42999999999995</v>
      </c>
      <c r="E65" s="16">
        <v>2</v>
      </c>
      <c r="F65" s="16" t="s">
        <v>43</v>
      </c>
      <c r="G65" s="16" t="s">
        <v>324</v>
      </c>
      <c r="H65" s="16" t="s">
        <v>50</v>
      </c>
      <c r="I65" s="16">
        <v>47.400902000000002</v>
      </c>
      <c r="J65" s="16">
        <v>-121.490494</v>
      </c>
      <c r="K65" s="16" t="s">
        <v>23</v>
      </c>
      <c r="L65" s="18">
        <v>45317</v>
      </c>
      <c r="M65" s="13">
        <f>DATEVALUE(TEXT(L65,"mm/dd/yy"))</f>
        <v>45317</v>
      </c>
      <c r="N65" s="17">
        <f>'Electronic Shop Sales Dataset'!$D65*'Electronic Shop Sales Dataset'!$E65</f>
        <v>1166.8599999999999</v>
      </c>
      <c r="O65" s="12" cm="1">
        <f t="array" ref="O65">_xlfn.IFS($K65="Website",$N65*0.05, $K65="Mobile App",$N65*0.05,TRUE,0)</f>
        <v>0</v>
      </c>
      <c r="P65" s="14" t="str">
        <f>IF(COUNTIF($G$2:G640,G65)&gt;1,"Returning","New")</f>
        <v>New</v>
      </c>
      <c r="Q65" s="24" t="str">
        <f t="shared" si="0"/>
        <v>January</v>
      </c>
      <c r="R65" t="str">
        <v>New Arrival</v>
      </c>
    </row>
    <row r="66" spans="1:18" x14ac:dyDescent="0.25">
      <c r="A66" s="10" t="s">
        <v>19</v>
      </c>
      <c r="B66" s="11" t="str">
        <f>'Electronic Shop Sales Dataset'!$A66&amp;"-"&amp;'Electronic Shop Sales Dataset'!$C66</f>
        <v>P00003-Graphics Card</v>
      </c>
      <c r="C66" s="11" t="s">
        <v>125</v>
      </c>
      <c r="D66" s="12">
        <v>1205.3</v>
      </c>
      <c r="E66" s="11">
        <v>2</v>
      </c>
      <c r="F66" s="11" t="s">
        <v>13</v>
      </c>
      <c r="G66" s="11" t="s">
        <v>325</v>
      </c>
      <c r="H66" s="11" t="s">
        <v>113</v>
      </c>
      <c r="I66" s="11">
        <v>34.969704</v>
      </c>
      <c r="J66" s="11">
        <v>-92.373123000000007</v>
      </c>
      <c r="K66" s="11" t="s">
        <v>48</v>
      </c>
      <c r="L66" s="13">
        <v>45317</v>
      </c>
      <c r="M66" s="13">
        <f>DATEVALUE(TEXT(L66,"mm/dd/yy"))</f>
        <v>45317</v>
      </c>
      <c r="N66" s="12">
        <f>'Electronic Shop Sales Dataset'!$D66*'Electronic Shop Sales Dataset'!$E66</f>
        <v>2410.6</v>
      </c>
      <c r="O66" s="12" cm="1">
        <f t="array" ref="O66">_xlfn.IFS($K66="Website",$N66*0.05, $K66="Mobile App",$N66*0.05,TRUE,0)</f>
        <v>120.53</v>
      </c>
      <c r="P66" s="14" t="str">
        <f>IF(COUNTIF($G$2:G641,G66)&gt;1,"Returning","New")</f>
        <v>New</v>
      </c>
      <c r="Q66" s="24" t="str">
        <f t="shared" si="0"/>
        <v>January</v>
      </c>
      <c r="R66" t="str">
        <v>New Arrival</v>
      </c>
    </row>
    <row r="67" spans="1:18" x14ac:dyDescent="0.25">
      <c r="A67" s="15" t="s">
        <v>79</v>
      </c>
      <c r="B67" s="16" t="str">
        <f>'Electronic Shop Sales Dataset'!$A67&amp;"-"&amp;'Electronic Shop Sales Dataset'!$C67</f>
        <v>P00012-Router</v>
      </c>
      <c r="C67" s="16" t="s">
        <v>39</v>
      </c>
      <c r="D67" s="17">
        <v>143.52000000000001</v>
      </c>
      <c r="E67" s="16">
        <v>2</v>
      </c>
      <c r="F67" s="16" t="s">
        <v>33</v>
      </c>
      <c r="G67" s="16" t="s">
        <v>326</v>
      </c>
      <c r="H67" s="16" t="s">
        <v>94</v>
      </c>
      <c r="I67" s="16">
        <v>41.597782000000002</v>
      </c>
      <c r="J67" s="16">
        <v>-72.755370999999997</v>
      </c>
      <c r="K67" s="16" t="s">
        <v>48</v>
      </c>
      <c r="L67" s="18">
        <v>45318</v>
      </c>
      <c r="M67" s="13">
        <f>DATEVALUE(TEXT(L67,"mm/dd/yy"))</f>
        <v>45318</v>
      </c>
      <c r="N67" s="17">
        <f>'Electronic Shop Sales Dataset'!$D67*'Electronic Shop Sales Dataset'!$E67</f>
        <v>287.04000000000002</v>
      </c>
      <c r="O67" s="12" cm="1">
        <f t="array" ref="O67">_xlfn.IFS($K67="Website",$N67*0.05, $K67="Mobile App",$N67*0.05,TRUE,0)</f>
        <v>14.352000000000002</v>
      </c>
      <c r="P67" s="14" t="str">
        <f>IF(COUNTIF($G$2:G642,G67)&gt;1,"Returning","New")</f>
        <v>New</v>
      </c>
      <c r="Q67" s="24" t="str">
        <f t="shared" ref="Q67:Q130" si="1">TEXT(M67,"mmmm")</f>
        <v>January</v>
      </c>
      <c r="R67" t="str">
        <v>New Arrival</v>
      </c>
    </row>
    <row r="68" spans="1:18" x14ac:dyDescent="0.25">
      <c r="A68" s="10" t="s">
        <v>16</v>
      </c>
      <c r="B68" s="11" t="str">
        <f>'Electronic Shop Sales Dataset'!$A68&amp;"-"&amp;'Electronic Shop Sales Dataset'!$C68</f>
        <v>P00010-Monitor</v>
      </c>
      <c r="C68" s="11" t="s">
        <v>25</v>
      </c>
      <c r="D68" s="12">
        <v>696.56</v>
      </c>
      <c r="E68" s="11">
        <v>1</v>
      </c>
      <c r="F68" s="11" t="s">
        <v>21</v>
      </c>
      <c r="G68" s="11" t="s">
        <v>327</v>
      </c>
      <c r="H68" s="11" t="s">
        <v>76</v>
      </c>
      <c r="I68" s="11">
        <v>33.856892000000002</v>
      </c>
      <c r="J68" s="11">
        <v>-80.945007000000004</v>
      </c>
      <c r="K68" s="11" t="s">
        <v>27</v>
      </c>
      <c r="L68" s="13">
        <v>45318</v>
      </c>
      <c r="M68" s="13">
        <f>DATEVALUE(TEXT(L68,"mm/dd/yy"))</f>
        <v>45318</v>
      </c>
      <c r="N68" s="12">
        <f>'Electronic Shop Sales Dataset'!$D68*'Electronic Shop Sales Dataset'!$E68</f>
        <v>696.56</v>
      </c>
      <c r="O68" s="12" cm="1">
        <f t="array" ref="O68">_xlfn.IFS($K68="Website",$N68*0.05, $K68="Mobile App",$N68*0.05,TRUE,0)</f>
        <v>0</v>
      </c>
      <c r="P68" s="14" t="str">
        <f>IF(COUNTIF($G$2:G643,G68)&gt;1,"Returning","New")</f>
        <v>New</v>
      </c>
      <c r="Q68" s="24" t="str">
        <f t="shared" si="1"/>
        <v>January</v>
      </c>
      <c r="R68" t="str">
        <v>New Arrival</v>
      </c>
    </row>
    <row r="69" spans="1:18" x14ac:dyDescent="0.25">
      <c r="A69" s="15" t="s">
        <v>16</v>
      </c>
      <c r="B69" s="16" t="str">
        <f>'Electronic Shop Sales Dataset'!$A69&amp;"-"&amp;'Electronic Shop Sales Dataset'!$C69</f>
        <v>P00010-Speaker</v>
      </c>
      <c r="C69" s="16" t="s">
        <v>106</v>
      </c>
      <c r="D69" s="17">
        <v>350.27</v>
      </c>
      <c r="E69" s="16">
        <v>1</v>
      </c>
      <c r="F69" s="16" t="s">
        <v>13</v>
      </c>
      <c r="G69" s="16" t="s">
        <v>328</v>
      </c>
      <c r="H69" s="16" t="s">
        <v>45</v>
      </c>
      <c r="I69" s="16">
        <v>36.116202999999999</v>
      </c>
      <c r="J69" s="16">
        <v>-119.68156399999999</v>
      </c>
      <c r="K69" s="16" t="s">
        <v>48</v>
      </c>
      <c r="L69" s="18">
        <v>45318</v>
      </c>
      <c r="M69" s="13">
        <f>DATEVALUE(TEXT(L69,"mm/dd/yy"))</f>
        <v>45318</v>
      </c>
      <c r="N69" s="17">
        <f>'Electronic Shop Sales Dataset'!$D69*'Electronic Shop Sales Dataset'!$E69</f>
        <v>350.27</v>
      </c>
      <c r="O69" s="12" cm="1">
        <f t="array" ref="O69">_xlfn.IFS($K69="Website",$N69*0.05, $K69="Mobile App",$N69*0.05,TRUE,0)</f>
        <v>17.513500000000001</v>
      </c>
      <c r="P69" s="14" t="str">
        <f>IF(COUNTIF($G$2:G644,G69)&gt;1,"Returning","New")</f>
        <v>New</v>
      </c>
      <c r="Q69" s="24" t="str">
        <f t="shared" si="1"/>
        <v>January</v>
      </c>
      <c r="R69" t="str">
        <v>New Arrival</v>
      </c>
    </row>
    <row r="70" spans="1:18" x14ac:dyDescent="0.25">
      <c r="A70" s="10" t="s">
        <v>58</v>
      </c>
      <c r="B70" s="11" t="str">
        <f>'Electronic Shop Sales Dataset'!$A70&amp;"-"&amp;'Electronic Shop Sales Dataset'!$C70</f>
        <v>P00009-Smart TV</v>
      </c>
      <c r="C70" s="11" t="s">
        <v>74</v>
      </c>
      <c r="D70" s="12">
        <v>1520.96</v>
      </c>
      <c r="E70" s="11">
        <v>4</v>
      </c>
      <c r="F70" s="11" t="s">
        <v>13</v>
      </c>
      <c r="G70" s="11" t="s">
        <v>329</v>
      </c>
      <c r="H70" s="11" t="s">
        <v>22</v>
      </c>
      <c r="I70" s="11">
        <v>32.741646000000003</v>
      </c>
      <c r="J70" s="11">
        <v>-89.678696000000002</v>
      </c>
      <c r="K70" s="11" t="s">
        <v>27</v>
      </c>
      <c r="L70" s="13">
        <v>45318</v>
      </c>
      <c r="M70" s="13">
        <f>DATEVALUE(TEXT(L70,"mm/dd/yy"))</f>
        <v>45318</v>
      </c>
      <c r="N70" s="12">
        <f>'Electronic Shop Sales Dataset'!$D70*'Electronic Shop Sales Dataset'!$E70</f>
        <v>6083.84</v>
      </c>
      <c r="O70" s="12" cm="1">
        <f t="array" ref="O70">_xlfn.IFS($K70="Website",$N70*0.05, $K70="Mobile App",$N70*0.05,TRUE,0)</f>
        <v>0</v>
      </c>
      <c r="P70" s="14" t="str">
        <f>IF(COUNTIF($G$2:G645,G70)&gt;1,"Returning","New")</f>
        <v>New</v>
      </c>
      <c r="Q70" s="24" t="str">
        <f t="shared" si="1"/>
        <v>January</v>
      </c>
      <c r="R70" t="str">
        <v>New Arrival</v>
      </c>
    </row>
    <row r="71" spans="1:18" x14ac:dyDescent="0.25">
      <c r="A71" s="15" t="s">
        <v>84</v>
      </c>
      <c r="B71" s="16" t="str">
        <f>'Electronic Shop Sales Dataset'!$A71&amp;"-"&amp;'Electronic Shop Sales Dataset'!$C71</f>
        <v>P00020-Gaming Console</v>
      </c>
      <c r="C71" s="16" t="s">
        <v>17</v>
      </c>
      <c r="D71" s="17">
        <v>302.20999999999998</v>
      </c>
      <c r="E71" s="16">
        <v>5</v>
      </c>
      <c r="F71" s="16" t="s">
        <v>33</v>
      </c>
      <c r="G71" s="16" t="s">
        <v>330</v>
      </c>
      <c r="H71" s="16" t="s">
        <v>105</v>
      </c>
      <c r="I71" s="16">
        <v>35.630065999999999</v>
      </c>
      <c r="J71" s="16">
        <v>-79.806419000000005</v>
      </c>
      <c r="K71" s="16" t="s">
        <v>23</v>
      </c>
      <c r="L71" s="18">
        <v>45318</v>
      </c>
      <c r="M71" s="13">
        <f>DATEVALUE(TEXT(L71,"mm/dd/yy"))</f>
        <v>45318</v>
      </c>
      <c r="N71" s="17">
        <f>'Electronic Shop Sales Dataset'!$D71*'Electronic Shop Sales Dataset'!$E71</f>
        <v>1511.05</v>
      </c>
      <c r="O71" s="12" cm="1">
        <f t="array" ref="O71">_xlfn.IFS($K71="Website",$N71*0.05, $K71="Mobile App",$N71*0.05,TRUE,0)</f>
        <v>0</v>
      </c>
      <c r="P71" s="14" t="str">
        <f>IF(COUNTIF($G$2:G646,G71)&gt;1,"Returning","New")</f>
        <v>New</v>
      </c>
      <c r="Q71" s="24" t="str">
        <f t="shared" si="1"/>
        <v>January</v>
      </c>
      <c r="R71" t="str">
        <v>New Arrival</v>
      </c>
    </row>
    <row r="72" spans="1:18" x14ac:dyDescent="0.25">
      <c r="A72" s="10" t="s">
        <v>61</v>
      </c>
      <c r="B72" s="11" t="str">
        <f>'Electronic Shop Sales Dataset'!$A72&amp;"-"&amp;'Electronic Shop Sales Dataset'!$C72</f>
        <v>P00002-Charger</v>
      </c>
      <c r="C72" s="11" t="s">
        <v>32</v>
      </c>
      <c r="D72" s="12">
        <v>37.71</v>
      </c>
      <c r="E72" s="11">
        <v>4</v>
      </c>
      <c r="F72" s="11" t="s">
        <v>13</v>
      </c>
      <c r="G72" s="11" t="s">
        <v>331</v>
      </c>
      <c r="H72" s="11" t="s">
        <v>110</v>
      </c>
      <c r="I72" s="11">
        <v>33.040619</v>
      </c>
      <c r="J72" s="11">
        <v>-83.643073999999999</v>
      </c>
      <c r="K72" s="11" t="s">
        <v>27</v>
      </c>
      <c r="L72" s="13">
        <v>45319</v>
      </c>
      <c r="M72" s="13">
        <f>DATEVALUE(TEXT(L72,"mm/dd/yy"))</f>
        <v>45319</v>
      </c>
      <c r="N72" s="12">
        <f>'Electronic Shop Sales Dataset'!$D72*'Electronic Shop Sales Dataset'!$E72</f>
        <v>150.84</v>
      </c>
      <c r="O72" s="12" cm="1">
        <f t="array" ref="O72">_xlfn.IFS($K72="Website",$N72*0.05, $K72="Mobile App",$N72*0.05,TRUE,0)</f>
        <v>0</v>
      </c>
      <c r="P72" s="14" t="str">
        <f>IF(COUNTIF($G$2:G647,G72)&gt;1,"Returning","New")</f>
        <v>New</v>
      </c>
      <c r="Q72" s="24" t="str">
        <f t="shared" si="1"/>
        <v>January</v>
      </c>
      <c r="R72" t="str">
        <v>New Arrival</v>
      </c>
    </row>
    <row r="73" spans="1:18" x14ac:dyDescent="0.25">
      <c r="A73" s="15" t="s">
        <v>58</v>
      </c>
      <c r="B73" s="16" t="str">
        <f>'Electronic Shop Sales Dataset'!$A73&amp;"-"&amp;'Electronic Shop Sales Dataset'!$C73</f>
        <v>P00009-Gaming Console</v>
      </c>
      <c r="C73" s="16" t="s">
        <v>17</v>
      </c>
      <c r="D73" s="17">
        <v>377.24</v>
      </c>
      <c r="E73" s="16">
        <v>4</v>
      </c>
      <c r="F73" s="16" t="s">
        <v>33</v>
      </c>
      <c r="G73" s="16" t="s">
        <v>332</v>
      </c>
      <c r="H73" s="16" t="s">
        <v>67</v>
      </c>
      <c r="I73" s="16">
        <v>46.921925000000002</v>
      </c>
      <c r="J73" s="16">
        <v>-110.454353</v>
      </c>
      <c r="K73" s="16" t="s">
        <v>54</v>
      </c>
      <c r="L73" s="18">
        <v>45319</v>
      </c>
      <c r="M73" s="13">
        <f>DATEVALUE(TEXT(L73,"mm/dd/yy"))</f>
        <v>45319</v>
      </c>
      <c r="N73" s="17">
        <f>'Electronic Shop Sales Dataset'!$D73*'Electronic Shop Sales Dataset'!$E73</f>
        <v>1508.96</v>
      </c>
      <c r="O73" s="12" cm="1">
        <f t="array" ref="O73">_xlfn.IFS($K73="Website",$N73*0.05, $K73="Mobile App",$N73*0.05,TRUE,0)</f>
        <v>75.448000000000008</v>
      </c>
      <c r="P73" s="14" t="str">
        <f>IF(COUNTIF($G$2:G648,G73)&gt;1,"Returning","New")</f>
        <v>New</v>
      </c>
      <c r="Q73" s="24" t="str">
        <f t="shared" si="1"/>
        <v>January</v>
      </c>
      <c r="R73" t="str">
        <v>New Arrival</v>
      </c>
    </row>
    <row r="74" spans="1:18" x14ac:dyDescent="0.25">
      <c r="A74" s="10" t="s">
        <v>60</v>
      </c>
      <c r="B74" s="11" t="str">
        <f>'Electronic Shop Sales Dataset'!$A74&amp;"-"&amp;'Electronic Shop Sales Dataset'!$C74</f>
        <v>P00015-Smart Home Hub</v>
      </c>
      <c r="C74" s="11" t="s">
        <v>42</v>
      </c>
      <c r="D74" s="12">
        <v>158.27000000000001</v>
      </c>
      <c r="E74" s="11">
        <v>2</v>
      </c>
      <c r="F74" s="11" t="s">
        <v>33</v>
      </c>
      <c r="G74" s="11" t="s">
        <v>333</v>
      </c>
      <c r="H74" s="11" t="s">
        <v>113</v>
      </c>
      <c r="I74" s="11">
        <v>34.969704</v>
      </c>
      <c r="J74" s="11">
        <v>-92.373123000000007</v>
      </c>
      <c r="K74" s="11" t="s">
        <v>54</v>
      </c>
      <c r="L74" s="13">
        <v>45319</v>
      </c>
      <c r="M74" s="13">
        <f>DATEVALUE(TEXT(L74,"mm/dd/yy"))</f>
        <v>45319</v>
      </c>
      <c r="N74" s="12">
        <f>'Electronic Shop Sales Dataset'!$D74*'Electronic Shop Sales Dataset'!$E74</f>
        <v>316.54000000000002</v>
      </c>
      <c r="O74" s="12" cm="1">
        <f t="array" ref="O74">_xlfn.IFS($K74="Website",$N74*0.05, $K74="Mobile App",$N74*0.05,TRUE,0)</f>
        <v>15.827000000000002</v>
      </c>
      <c r="P74" s="14" t="str">
        <f>IF(COUNTIF($G$2:G649,G74)&gt;1,"Returning","New")</f>
        <v>New</v>
      </c>
      <c r="Q74" s="24" t="str">
        <f t="shared" si="1"/>
        <v>January</v>
      </c>
      <c r="R74" t="str">
        <v>New Arrival</v>
      </c>
    </row>
    <row r="75" spans="1:18" x14ac:dyDescent="0.25">
      <c r="A75" s="15" t="s">
        <v>90</v>
      </c>
      <c r="B75" s="16" t="str">
        <f>'Electronic Shop Sales Dataset'!$A75&amp;"-"&amp;'Electronic Shop Sales Dataset'!$C75</f>
        <v>P00014-Scanner</v>
      </c>
      <c r="C75" s="16" t="s">
        <v>71</v>
      </c>
      <c r="D75" s="17">
        <v>171.68</v>
      </c>
      <c r="E75" s="16">
        <v>2</v>
      </c>
      <c r="F75" s="16" t="s">
        <v>43</v>
      </c>
      <c r="G75" s="16" t="s">
        <v>334</v>
      </c>
      <c r="H75" s="16" t="s">
        <v>57</v>
      </c>
      <c r="I75" s="16">
        <v>40.150032000000003</v>
      </c>
      <c r="J75" s="16">
        <v>-111.86243399999999</v>
      </c>
      <c r="K75" s="16" t="s">
        <v>54</v>
      </c>
      <c r="L75" s="18">
        <v>45320</v>
      </c>
      <c r="M75" s="13">
        <f>DATEVALUE(TEXT(L75,"mm/dd/yy"))</f>
        <v>45320</v>
      </c>
      <c r="N75" s="17">
        <f>'Electronic Shop Sales Dataset'!$D75*'Electronic Shop Sales Dataset'!$E75</f>
        <v>343.36</v>
      </c>
      <c r="O75" s="12" cm="1">
        <f t="array" ref="O75">_xlfn.IFS($K75="Website",$N75*0.05, $K75="Mobile App",$N75*0.05,TRUE,0)</f>
        <v>17.168000000000003</v>
      </c>
      <c r="P75" s="14" t="str">
        <f>IF(COUNTIF($G$2:G650,G75)&gt;1,"Returning","New")</f>
        <v>New</v>
      </c>
      <c r="Q75" s="24" t="str">
        <f t="shared" si="1"/>
        <v>January</v>
      </c>
      <c r="R75" t="str">
        <v>New Arrival</v>
      </c>
    </row>
    <row r="76" spans="1:18" x14ac:dyDescent="0.25">
      <c r="A76" s="10" t="s">
        <v>38</v>
      </c>
      <c r="B76" s="11" t="str">
        <f>'Electronic Shop Sales Dataset'!$A76&amp;"-"&amp;'Electronic Shop Sales Dataset'!$C76</f>
        <v>P00007-USB Drive</v>
      </c>
      <c r="C76" s="11" t="s">
        <v>36</v>
      </c>
      <c r="D76" s="12">
        <v>28.88</v>
      </c>
      <c r="E76" s="11">
        <v>4</v>
      </c>
      <c r="F76" s="11" t="s">
        <v>21</v>
      </c>
      <c r="G76" s="11" t="s">
        <v>335</v>
      </c>
      <c r="H76" s="11" t="s">
        <v>91</v>
      </c>
      <c r="I76" s="11">
        <v>38.313515000000002</v>
      </c>
      <c r="J76" s="11">
        <v>-117.055374</v>
      </c>
      <c r="K76" s="11" t="s">
        <v>48</v>
      </c>
      <c r="L76" s="13">
        <v>45321</v>
      </c>
      <c r="M76" s="13">
        <f>DATEVALUE(TEXT(L76,"mm/dd/yy"))</f>
        <v>45321</v>
      </c>
      <c r="N76" s="12">
        <f>'Electronic Shop Sales Dataset'!$D76*'Electronic Shop Sales Dataset'!$E76</f>
        <v>115.52</v>
      </c>
      <c r="O76" s="12" cm="1">
        <f t="array" ref="O76">_xlfn.IFS($K76="Website",$N76*0.05, $K76="Mobile App",$N76*0.05,TRUE,0)</f>
        <v>5.7759999999999998</v>
      </c>
      <c r="P76" s="14" t="str">
        <f>IF(COUNTIF($G$2:G651,G76)&gt;1,"Returning","New")</f>
        <v>New</v>
      </c>
      <c r="Q76" s="24" t="str">
        <f t="shared" si="1"/>
        <v>January</v>
      </c>
      <c r="R76" t="str">
        <v>New Arrival</v>
      </c>
    </row>
    <row r="77" spans="1:18" x14ac:dyDescent="0.25">
      <c r="A77" s="15" t="s">
        <v>79</v>
      </c>
      <c r="B77" s="16" t="str">
        <f>'Electronic Shop Sales Dataset'!$A77&amp;"-"&amp;'Electronic Shop Sales Dataset'!$C77</f>
        <v>P00012-Speaker</v>
      </c>
      <c r="C77" s="16" t="s">
        <v>106</v>
      </c>
      <c r="D77" s="17">
        <v>216.68</v>
      </c>
      <c r="E77" s="16">
        <v>5</v>
      </c>
      <c r="F77" s="16" t="s">
        <v>13</v>
      </c>
      <c r="G77" s="16" t="s">
        <v>336</v>
      </c>
      <c r="H77" s="16" t="s">
        <v>104</v>
      </c>
      <c r="I77" s="16">
        <v>61.370716000000002</v>
      </c>
      <c r="J77" s="16">
        <v>-152.40441899999999</v>
      </c>
      <c r="K77" s="16" t="s">
        <v>54</v>
      </c>
      <c r="L77" s="18">
        <v>45321</v>
      </c>
      <c r="M77" s="13">
        <f>DATEVALUE(TEXT(L77,"mm/dd/yy"))</f>
        <v>45321</v>
      </c>
      <c r="N77" s="17">
        <f>'Electronic Shop Sales Dataset'!$D77*'Electronic Shop Sales Dataset'!$E77</f>
        <v>1083.4000000000001</v>
      </c>
      <c r="O77" s="12" cm="1">
        <f t="array" ref="O77">_xlfn.IFS($K77="Website",$N77*0.05, $K77="Mobile App",$N77*0.05,TRUE,0)</f>
        <v>54.170000000000009</v>
      </c>
      <c r="P77" s="14" t="str">
        <f>IF(COUNTIF($G$2:G652,G77)&gt;1,"Returning","New")</f>
        <v>New</v>
      </c>
      <c r="Q77" s="24" t="str">
        <f t="shared" si="1"/>
        <v>January</v>
      </c>
      <c r="R77" t="str">
        <v>New Arrival</v>
      </c>
    </row>
    <row r="78" spans="1:18" x14ac:dyDescent="0.25">
      <c r="A78" s="10" t="s">
        <v>90</v>
      </c>
      <c r="B78" s="11" t="str">
        <f>'Electronic Shop Sales Dataset'!$A78&amp;"-"&amp;'Electronic Shop Sales Dataset'!$C78</f>
        <v>P00014-VR Headset</v>
      </c>
      <c r="C78" s="11" t="s">
        <v>72</v>
      </c>
      <c r="D78" s="12">
        <v>822.19</v>
      </c>
      <c r="E78" s="11">
        <v>5</v>
      </c>
      <c r="F78" s="11" t="s">
        <v>13</v>
      </c>
      <c r="G78" s="11" t="s">
        <v>337</v>
      </c>
      <c r="H78" s="11" t="s">
        <v>18</v>
      </c>
      <c r="I78" s="11">
        <v>47.528911999999998</v>
      </c>
      <c r="J78" s="11">
        <v>-99.784012000000004</v>
      </c>
      <c r="K78" s="11" t="s">
        <v>27</v>
      </c>
      <c r="L78" s="13">
        <v>45322</v>
      </c>
      <c r="M78" s="13">
        <f>DATEVALUE(TEXT(L78,"mm/dd/yy"))</f>
        <v>45322</v>
      </c>
      <c r="N78" s="12">
        <f>'Electronic Shop Sales Dataset'!$D78*'Electronic Shop Sales Dataset'!$E78</f>
        <v>4110.9500000000007</v>
      </c>
      <c r="O78" s="12" cm="1">
        <f t="array" ref="O78">_xlfn.IFS($K78="Website",$N78*0.05, $K78="Mobile App",$N78*0.05,TRUE,0)</f>
        <v>0</v>
      </c>
      <c r="P78" s="14" t="str">
        <f>IF(COUNTIF($G$2:G653,G78)&gt;1,"Returning","New")</f>
        <v>New</v>
      </c>
      <c r="Q78" s="24" t="str">
        <f t="shared" si="1"/>
        <v>January</v>
      </c>
      <c r="R78" t="str">
        <v>New Arrival</v>
      </c>
    </row>
    <row r="79" spans="1:18" x14ac:dyDescent="0.25">
      <c r="A79" s="15" t="s">
        <v>88</v>
      </c>
      <c r="B79" s="16" t="str">
        <f>'Electronic Shop Sales Dataset'!$A79&amp;"-"&amp;'Electronic Shop Sales Dataset'!$C79</f>
        <v>P00018-Router</v>
      </c>
      <c r="C79" s="16" t="s">
        <v>39</v>
      </c>
      <c r="D79" s="17">
        <v>194.88</v>
      </c>
      <c r="E79" s="16">
        <v>3</v>
      </c>
      <c r="F79" s="16" t="s">
        <v>33</v>
      </c>
      <c r="G79" s="16" t="s">
        <v>338</v>
      </c>
      <c r="H79" s="16" t="s">
        <v>116</v>
      </c>
      <c r="I79" s="16">
        <v>43.452491999999999</v>
      </c>
      <c r="J79" s="16">
        <v>-71.563896</v>
      </c>
      <c r="K79" s="16" t="s">
        <v>48</v>
      </c>
      <c r="L79" s="18">
        <v>45322</v>
      </c>
      <c r="M79" s="13">
        <f>DATEVALUE(TEXT(L79,"mm/dd/yy"))</f>
        <v>45322</v>
      </c>
      <c r="N79" s="17">
        <f>'Electronic Shop Sales Dataset'!$D79*'Electronic Shop Sales Dataset'!$E79</f>
        <v>584.64</v>
      </c>
      <c r="O79" s="12" cm="1">
        <f t="array" ref="O79">_xlfn.IFS($K79="Website",$N79*0.05, $K79="Mobile App",$N79*0.05,TRUE,0)</f>
        <v>29.231999999999999</v>
      </c>
      <c r="P79" s="14" t="str">
        <f>IF(COUNTIF($G$2:G654,G79)&gt;1,"Returning","New")</f>
        <v>New</v>
      </c>
      <c r="Q79" s="24" t="str">
        <f t="shared" si="1"/>
        <v>January</v>
      </c>
      <c r="R79" t="str">
        <v>New Arrival</v>
      </c>
    </row>
    <row r="80" spans="1:18" x14ac:dyDescent="0.25">
      <c r="A80" s="10" t="s">
        <v>64</v>
      </c>
      <c r="B80" s="11" t="str">
        <f>'Electronic Shop Sales Dataset'!$A80&amp;"-"&amp;'Electronic Shop Sales Dataset'!$C80</f>
        <v>P00011-Smart Home Hub</v>
      </c>
      <c r="C80" s="11" t="s">
        <v>42</v>
      </c>
      <c r="D80" s="12">
        <v>344.39</v>
      </c>
      <c r="E80" s="11">
        <v>4</v>
      </c>
      <c r="F80" s="11" t="s">
        <v>13</v>
      </c>
      <c r="G80" s="11" t="s">
        <v>339</v>
      </c>
      <c r="H80" s="11" t="s">
        <v>99</v>
      </c>
      <c r="I80" s="11">
        <v>37.668140000000001</v>
      </c>
      <c r="J80" s="11">
        <v>-84.670067000000003</v>
      </c>
      <c r="K80" s="11" t="s">
        <v>15</v>
      </c>
      <c r="L80" s="13">
        <v>45322</v>
      </c>
      <c r="M80" s="13">
        <f>DATEVALUE(TEXT(L80,"mm/dd/yy"))</f>
        <v>45322</v>
      </c>
      <c r="N80" s="12">
        <f>'Electronic Shop Sales Dataset'!$D80*'Electronic Shop Sales Dataset'!$E80</f>
        <v>1377.56</v>
      </c>
      <c r="O80" s="12" cm="1">
        <f t="array" ref="O80">_xlfn.IFS($K80="Website",$N80*0.05, $K80="Mobile App",$N80*0.05,TRUE,0)</f>
        <v>0</v>
      </c>
      <c r="P80" s="14" t="str">
        <f>IF(COUNTIF($G$2:G655,G80)&gt;1,"Returning","New")</f>
        <v>New</v>
      </c>
      <c r="Q80" s="24" t="str">
        <f t="shared" si="1"/>
        <v>January</v>
      </c>
      <c r="R80" t="str">
        <v>New Arrival</v>
      </c>
    </row>
    <row r="81" spans="1:18" x14ac:dyDescent="0.25">
      <c r="A81" s="15" t="s">
        <v>24</v>
      </c>
      <c r="B81" s="16" t="str">
        <f>'Electronic Shop Sales Dataset'!$A81&amp;"-"&amp;'Electronic Shop Sales Dataset'!$C81</f>
        <v>P00013-Charger</v>
      </c>
      <c r="C81" s="16" t="s">
        <v>32</v>
      </c>
      <c r="D81" s="17">
        <v>21.86</v>
      </c>
      <c r="E81" s="16">
        <v>1</v>
      </c>
      <c r="F81" s="16" t="s">
        <v>13</v>
      </c>
      <c r="G81" s="16" t="s">
        <v>340</v>
      </c>
      <c r="H81" s="16" t="s">
        <v>80</v>
      </c>
      <c r="I81" s="16">
        <v>39.318522999999999</v>
      </c>
      <c r="J81" s="16">
        <v>-75.507141000000004</v>
      </c>
      <c r="K81" s="16" t="s">
        <v>54</v>
      </c>
      <c r="L81" s="18">
        <v>45323</v>
      </c>
      <c r="M81" s="13">
        <f>DATEVALUE(TEXT(L81,"mm/dd/yy"))</f>
        <v>45323</v>
      </c>
      <c r="N81" s="17">
        <f>'Electronic Shop Sales Dataset'!$D81*'Electronic Shop Sales Dataset'!$E81</f>
        <v>21.86</v>
      </c>
      <c r="O81" s="12" cm="1">
        <f t="array" ref="O81">_xlfn.IFS($K81="Website",$N81*0.05, $K81="Mobile App",$N81*0.05,TRUE,0)</f>
        <v>1.093</v>
      </c>
      <c r="P81" s="14" t="str">
        <f>IF(COUNTIF($G$2:G656,G81)&gt;1,"Returning","New")</f>
        <v>New</v>
      </c>
      <c r="Q81" s="24" t="str">
        <f t="shared" si="1"/>
        <v>February</v>
      </c>
      <c r="R81" t="str">
        <v>New Arrival</v>
      </c>
    </row>
    <row r="82" spans="1:18" x14ac:dyDescent="0.25">
      <c r="A82" s="10" t="s">
        <v>92</v>
      </c>
      <c r="B82" s="11" t="str">
        <f>'Electronic Shop Sales Dataset'!$A82&amp;"-"&amp;'Electronic Shop Sales Dataset'!$C82</f>
        <v>P00004-Graphics Card</v>
      </c>
      <c r="C82" s="11" t="s">
        <v>125</v>
      </c>
      <c r="D82" s="12">
        <v>1013.09</v>
      </c>
      <c r="E82" s="11">
        <v>2</v>
      </c>
      <c r="F82" s="11" t="s">
        <v>43</v>
      </c>
      <c r="G82" s="11" t="s">
        <v>341</v>
      </c>
      <c r="H82" s="11" t="s">
        <v>107</v>
      </c>
      <c r="I82" s="11">
        <v>38.526600000000002</v>
      </c>
      <c r="J82" s="11">
        <v>-96.726485999999994</v>
      </c>
      <c r="K82" s="11" t="s">
        <v>54</v>
      </c>
      <c r="L82" s="13">
        <v>45323</v>
      </c>
      <c r="M82" s="13">
        <f>DATEVALUE(TEXT(L82,"mm/dd/yy"))</f>
        <v>45323</v>
      </c>
      <c r="N82" s="12">
        <f>'Electronic Shop Sales Dataset'!$D82*'Electronic Shop Sales Dataset'!$E82</f>
        <v>2026.18</v>
      </c>
      <c r="O82" s="12" cm="1">
        <f t="array" ref="O82">_xlfn.IFS($K82="Website",$N82*0.05, $K82="Mobile App",$N82*0.05,TRUE,0)</f>
        <v>101.30900000000001</v>
      </c>
      <c r="P82" s="14" t="str">
        <f>IF(COUNTIF($G$2:G657,G82)&gt;1,"Returning","New")</f>
        <v>New</v>
      </c>
      <c r="Q82" s="24" t="str">
        <f t="shared" si="1"/>
        <v>February</v>
      </c>
      <c r="R82" t="str">
        <v>New Arrival</v>
      </c>
    </row>
    <row r="83" spans="1:18" x14ac:dyDescent="0.25">
      <c r="A83" s="15" t="s">
        <v>16</v>
      </c>
      <c r="B83" s="16" t="str">
        <f>'Electronic Shop Sales Dataset'!$A83&amp;"-"&amp;'Electronic Shop Sales Dataset'!$C83</f>
        <v>P00010-USB Drive</v>
      </c>
      <c r="C83" s="16" t="s">
        <v>36</v>
      </c>
      <c r="D83" s="17">
        <v>35.380000000000003</v>
      </c>
      <c r="E83" s="16">
        <v>3</v>
      </c>
      <c r="F83" s="16" t="s">
        <v>21</v>
      </c>
      <c r="G83" s="16" t="s">
        <v>255</v>
      </c>
      <c r="H83" s="16" t="s">
        <v>146</v>
      </c>
      <c r="I83" s="16">
        <v>40.590752000000002</v>
      </c>
      <c r="J83" s="16">
        <v>-77.209755000000001</v>
      </c>
      <c r="K83" s="16" t="s">
        <v>48</v>
      </c>
      <c r="L83" s="18">
        <v>45323</v>
      </c>
      <c r="M83" s="13">
        <f>DATEVALUE(TEXT(L83,"mm/dd/yy"))</f>
        <v>45323</v>
      </c>
      <c r="N83" s="17">
        <f>'Electronic Shop Sales Dataset'!$D83*'Electronic Shop Sales Dataset'!$E83</f>
        <v>106.14000000000001</v>
      </c>
      <c r="O83" s="12" cm="1">
        <f t="array" ref="O83">_xlfn.IFS($K83="Website",$N83*0.05, $K83="Mobile App",$N83*0.05,TRUE,0)</f>
        <v>5.3070000000000013</v>
      </c>
      <c r="P83" s="14" t="str">
        <f>IF(COUNTIF($G$2:G658,G83)&gt;1,"Returning","New")</f>
        <v>New</v>
      </c>
      <c r="Q83" s="24" t="str">
        <f t="shared" si="1"/>
        <v>February</v>
      </c>
      <c r="R83" t="str">
        <v>New Arrival</v>
      </c>
    </row>
    <row r="84" spans="1:18" x14ac:dyDescent="0.25">
      <c r="A84" s="10" t="s">
        <v>28</v>
      </c>
      <c r="B84" s="11" t="str">
        <f>'Electronic Shop Sales Dataset'!$A84&amp;"-"&amp;'Electronic Shop Sales Dataset'!$C84</f>
        <v>P00006-Projector</v>
      </c>
      <c r="C84" s="11" t="s">
        <v>65</v>
      </c>
      <c r="D84" s="12">
        <v>593.54999999999995</v>
      </c>
      <c r="E84" s="11">
        <v>1</v>
      </c>
      <c r="F84" s="11" t="s">
        <v>33</v>
      </c>
      <c r="G84" s="11" t="s">
        <v>342</v>
      </c>
      <c r="H84" s="11" t="s">
        <v>94</v>
      </c>
      <c r="I84" s="11">
        <v>41.597782000000002</v>
      </c>
      <c r="J84" s="11">
        <v>-72.755370999999997</v>
      </c>
      <c r="K84" s="11" t="s">
        <v>27</v>
      </c>
      <c r="L84" s="13">
        <v>45323</v>
      </c>
      <c r="M84" s="13">
        <f>DATEVALUE(TEXT(L84,"mm/dd/yy"))</f>
        <v>45323</v>
      </c>
      <c r="N84" s="12">
        <f>'Electronic Shop Sales Dataset'!$D84*'Electronic Shop Sales Dataset'!$E84</f>
        <v>593.54999999999995</v>
      </c>
      <c r="O84" s="12" cm="1">
        <f t="array" ref="O84">_xlfn.IFS($K84="Website",$N84*0.05, $K84="Mobile App",$N84*0.05,TRUE,0)</f>
        <v>0</v>
      </c>
      <c r="P84" s="14" t="str">
        <f>IF(COUNTIF($G$2:G659,G84)&gt;1,"Returning","New")</f>
        <v>New</v>
      </c>
      <c r="Q84" s="24" t="str">
        <f t="shared" si="1"/>
        <v>February</v>
      </c>
      <c r="R84" t="str">
        <v>New Arrival</v>
      </c>
    </row>
    <row r="85" spans="1:18" x14ac:dyDescent="0.25">
      <c r="A85" s="15" t="s">
        <v>49</v>
      </c>
      <c r="B85" s="16" t="str">
        <f>'Electronic Shop Sales Dataset'!$A85&amp;"-"&amp;'Electronic Shop Sales Dataset'!$C85</f>
        <v>P00023-Smartwatch</v>
      </c>
      <c r="C85" s="16" t="s">
        <v>62</v>
      </c>
      <c r="D85" s="17">
        <v>222.05</v>
      </c>
      <c r="E85" s="16">
        <v>2</v>
      </c>
      <c r="F85" s="16" t="s">
        <v>33</v>
      </c>
      <c r="G85" s="16" t="s">
        <v>343</v>
      </c>
      <c r="H85" s="16" t="s">
        <v>109</v>
      </c>
      <c r="I85" s="16">
        <v>44.299782</v>
      </c>
      <c r="J85" s="16">
        <v>-99.438828000000001</v>
      </c>
      <c r="K85" s="16" t="s">
        <v>27</v>
      </c>
      <c r="L85" s="18">
        <v>45323</v>
      </c>
      <c r="M85" s="13">
        <f>DATEVALUE(TEXT(L85,"mm/dd/yy"))</f>
        <v>45323</v>
      </c>
      <c r="N85" s="17">
        <f>'Electronic Shop Sales Dataset'!$D85*'Electronic Shop Sales Dataset'!$E85</f>
        <v>444.1</v>
      </c>
      <c r="O85" s="12" cm="1">
        <f t="array" ref="O85">_xlfn.IFS($K85="Website",$N85*0.05, $K85="Mobile App",$N85*0.05,TRUE,0)</f>
        <v>0</v>
      </c>
      <c r="P85" s="14" t="str">
        <f>IF(COUNTIF($G$2:G660,G85)&gt;1,"Returning","New")</f>
        <v>New</v>
      </c>
      <c r="Q85" s="24" t="str">
        <f t="shared" si="1"/>
        <v>February</v>
      </c>
      <c r="R85" t="str">
        <v>New Arrival</v>
      </c>
    </row>
    <row r="86" spans="1:18" x14ac:dyDescent="0.25">
      <c r="A86" s="10" t="s">
        <v>102</v>
      </c>
      <c r="B86" s="11" t="str">
        <f>'Electronic Shop Sales Dataset'!$A86&amp;"-"&amp;'Electronic Shop Sales Dataset'!$C86</f>
        <v>P00001-VR Headset</v>
      </c>
      <c r="C86" s="11" t="s">
        <v>72</v>
      </c>
      <c r="D86" s="12">
        <v>618.85</v>
      </c>
      <c r="E86" s="11">
        <v>1</v>
      </c>
      <c r="F86" s="11" t="s">
        <v>13</v>
      </c>
      <c r="G86" s="11" t="s">
        <v>344</v>
      </c>
      <c r="H86" s="11" t="s">
        <v>45</v>
      </c>
      <c r="I86" s="11">
        <v>36.116202999999999</v>
      </c>
      <c r="J86" s="11">
        <v>-119.68156399999999</v>
      </c>
      <c r="K86" s="11" t="s">
        <v>15</v>
      </c>
      <c r="L86" s="13">
        <v>45323</v>
      </c>
      <c r="M86" s="13">
        <f>DATEVALUE(TEXT(L86,"mm/dd/yy"))</f>
        <v>45323</v>
      </c>
      <c r="N86" s="12">
        <f>'Electronic Shop Sales Dataset'!$D86*'Electronic Shop Sales Dataset'!$E86</f>
        <v>618.85</v>
      </c>
      <c r="O86" s="12" cm="1">
        <f t="array" ref="O86">_xlfn.IFS($K86="Website",$N86*0.05, $K86="Mobile App",$N86*0.05,TRUE,0)</f>
        <v>0</v>
      </c>
      <c r="P86" s="14" t="str">
        <f>IF(COUNTIF($G$2:G661,G86)&gt;1,"Returning","New")</f>
        <v>New</v>
      </c>
      <c r="Q86" s="24" t="str">
        <f t="shared" si="1"/>
        <v>February</v>
      </c>
      <c r="R86" t="str">
        <v>New Arrival</v>
      </c>
    </row>
    <row r="87" spans="1:18" x14ac:dyDescent="0.25">
      <c r="A87" s="15" t="s">
        <v>102</v>
      </c>
      <c r="B87" s="16" t="str">
        <f>'Electronic Shop Sales Dataset'!$A87&amp;"-"&amp;'Electronic Shop Sales Dataset'!$C87</f>
        <v>P00001-Tablet</v>
      </c>
      <c r="C87" s="16" t="s">
        <v>83</v>
      </c>
      <c r="D87" s="17">
        <v>392.41</v>
      </c>
      <c r="E87" s="16">
        <v>4</v>
      </c>
      <c r="F87" s="16" t="s">
        <v>13</v>
      </c>
      <c r="G87" s="16" t="s">
        <v>345</v>
      </c>
      <c r="H87" s="16" t="s">
        <v>103</v>
      </c>
      <c r="I87" s="16">
        <v>43.326618000000003</v>
      </c>
      <c r="J87" s="16">
        <v>-84.536095000000003</v>
      </c>
      <c r="K87" s="16" t="s">
        <v>48</v>
      </c>
      <c r="L87" s="18">
        <v>45324</v>
      </c>
      <c r="M87" s="13">
        <f>DATEVALUE(TEXT(L87,"mm/dd/yy"))</f>
        <v>45324</v>
      </c>
      <c r="N87" s="17">
        <f>'Electronic Shop Sales Dataset'!$D87*'Electronic Shop Sales Dataset'!$E87</f>
        <v>1569.64</v>
      </c>
      <c r="O87" s="12" cm="1">
        <f t="array" ref="O87">_xlfn.IFS($K87="Website",$N87*0.05, $K87="Mobile App",$N87*0.05,TRUE,0)</f>
        <v>78.482000000000014</v>
      </c>
      <c r="P87" s="14" t="str">
        <f>IF(COUNTIF($G$2:G662,G87)&gt;1,"Returning","New")</f>
        <v>New</v>
      </c>
      <c r="Q87" s="24" t="str">
        <f t="shared" si="1"/>
        <v>February</v>
      </c>
      <c r="R87" t="str">
        <v>New Arrival</v>
      </c>
    </row>
    <row r="88" spans="1:18" x14ac:dyDescent="0.25">
      <c r="A88" s="10" t="s">
        <v>38</v>
      </c>
      <c r="B88" s="11" t="str">
        <f>'Electronic Shop Sales Dataset'!$A88&amp;"-"&amp;'Electronic Shop Sales Dataset'!$C88</f>
        <v>P00007-Projector</v>
      </c>
      <c r="C88" s="11" t="s">
        <v>65</v>
      </c>
      <c r="D88" s="12">
        <v>461.23</v>
      </c>
      <c r="E88" s="11">
        <v>4</v>
      </c>
      <c r="F88" s="11" t="s">
        <v>43</v>
      </c>
      <c r="G88" s="11" t="s">
        <v>346</v>
      </c>
      <c r="H88" s="11" t="s">
        <v>18</v>
      </c>
      <c r="I88" s="11">
        <v>47.528911999999998</v>
      </c>
      <c r="J88" s="11">
        <v>-99.784012000000004</v>
      </c>
      <c r="K88" s="11" t="s">
        <v>48</v>
      </c>
      <c r="L88" s="13">
        <v>45325</v>
      </c>
      <c r="M88" s="13">
        <f>DATEVALUE(TEXT(L88,"mm/dd/yy"))</f>
        <v>45325</v>
      </c>
      <c r="N88" s="12">
        <f>'Electronic Shop Sales Dataset'!$D88*'Electronic Shop Sales Dataset'!$E88</f>
        <v>1844.92</v>
      </c>
      <c r="O88" s="12" cm="1">
        <f t="array" ref="O88">_xlfn.IFS($K88="Website",$N88*0.05, $K88="Mobile App",$N88*0.05,TRUE,0)</f>
        <v>92.246000000000009</v>
      </c>
      <c r="P88" s="14" t="str">
        <f>IF(COUNTIF($G$2:G663,G88)&gt;1,"Returning","New")</f>
        <v>New</v>
      </c>
      <c r="Q88" s="24" t="str">
        <f t="shared" si="1"/>
        <v>February</v>
      </c>
      <c r="R88" t="str">
        <v>New Arrival</v>
      </c>
    </row>
    <row r="89" spans="1:18" x14ac:dyDescent="0.25">
      <c r="A89" s="15" t="s">
        <v>79</v>
      </c>
      <c r="B89" s="16" t="str">
        <f>'Electronic Shop Sales Dataset'!$A89&amp;"-"&amp;'Electronic Shop Sales Dataset'!$C89</f>
        <v>P00012-Drone</v>
      </c>
      <c r="C89" s="16" t="s">
        <v>20</v>
      </c>
      <c r="D89" s="17">
        <v>2646.88</v>
      </c>
      <c r="E89" s="16">
        <v>1</v>
      </c>
      <c r="F89" s="16" t="s">
        <v>21</v>
      </c>
      <c r="G89" s="16" t="s">
        <v>347</v>
      </c>
      <c r="H89" s="16" t="s">
        <v>14</v>
      </c>
      <c r="I89" s="16">
        <v>42.230170999999999</v>
      </c>
      <c r="J89" s="16">
        <v>-71.530106000000004</v>
      </c>
      <c r="K89" s="16" t="s">
        <v>48</v>
      </c>
      <c r="L89" s="18">
        <v>45325</v>
      </c>
      <c r="M89" s="13">
        <f>DATEVALUE(TEXT(L89,"mm/dd/yy"))</f>
        <v>45325</v>
      </c>
      <c r="N89" s="17">
        <f>'Electronic Shop Sales Dataset'!$D89*'Electronic Shop Sales Dataset'!$E89</f>
        <v>2646.88</v>
      </c>
      <c r="O89" s="12" cm="1">
        <f t="array" ref="O89">_xlfn.IFS($K89="Website",$N89*0.05, $K89="Mobile App",$N89*0.05,TRUE,0)</f>
        <v>132.34400000000002</v>
      </c>
      <c r="P89" s="14" t="str">
        <f>IF(COUNTIF($G$2:G664,G89)&gt;1,"Returning","New")</f>
        <v>New</v>
      </c>
      <c r="Q89" s="24" t="str">
        <f t="shared" si="1"/>
        <v>February</v>
      </c>
      <c r="R89" t="str">
        <v>New Arrival</v>
      </c>
    </row>
    <row r="90" spans="1:18" x14ac:dyDescent="0.25">
      <c r="A90" s="10" t="s">
        <v>11</v>
      </c>
      <c r="B90" s="11" t="str">
        <f>'Electronic Shop Sales Dataset'!$A90&amp;"-"&amp;'Electronic Shop Sales Dataset'!$C90</f>
        <v>P00019-Smart Home Hub</v>
      </c>
      <c r="C90" s="11" t="s">
        <v>42</v>
      </c>
      <c r="D90" s="12">
        <v>246.47</v>
      </c>
      <c r="E90" s="11">
        <v>3</v>
      </c>
      <c r="F90" s="11" t="s">
        <v>33</v>
      </c>
      <c r="G90" s="11" t="s">
        <v>348</v>
      </c>
      <c r="H90" s="11" t="s">
        <v>96</v>
      </c>
      <c r="I90" s="11">
        <v>42.011538999999999</v>
      </c>
      <c r="J90" s="11">
        <v>-93.210526000000002</v>
      </c>
      <c r="K90" s="11" t="s">
        <v>23</v>
      </c>
      <c r="L90" s="13">
        <v>45326</v>
      </c>
      <c r="M90" s="13">
        <f>DATEVALUE(TEXT(L90,"mm/dd/yy"))</f>
        <v>45326</v>
      </c>
      <c r="N90" s="12">
        <f>'Electronic Shop Sales Dataset'!$D90*'Electronic Shop Sales Dataset'!$E90</f>
        <v>739.41</v>
      </c>
      <c r="O90" s="12" cm="1">
        <f t="array" ref="O90">_xlfn.IFS($K90="Website",$N90*0.05, $K90="Mobile App",$N90*0.05,TRUE,0)</f>
        <v>0</v>
      </c>
      <c r="P90" s="14" t="str">
        <f>IF(COUNTIF($G$2:G665,G90)&gt;1,"Returning","New")</f>
        <v>New</v>
      </c>
      <c r="Q90" s="24" t="str">
        <f t="shared" si="1"/>
        <v>February</v>
      </c>
      <c r="R90" t="str">
        <v>New Arrival</v>
      </c>
    </row>
    <row r="91" spans="1:18" x14ac:dyDescent="0.25">
      <c r="A91" s="15" t="s">
        <v>49</v>
      </c>
      <c r="B91" s="16" t="str">
        <f>'Electronic Shop Sales Dataset'!$A91&amp;"-"&amp;'Electronic Shop Sales Dataset'!$C91</f>
        <v>P00023-USB Drive</v>
      </c>
      <c r="C91" s="16" t="s">
        <v>36</v>
      </c>
      <c r="D91" s="17">
        <v>27.25</v>
      </c>
      <c r="E91" s="16">
        <v>1</v>
      </c>
      <c r="F91" s="16" t="s">
        <v>33</v>
      </c>
      <c r="G91" s="16" t="s">
        <v>349</v>
      </c>
      <c r="H91" s="16" t="s">
        <v>47</v>
      </c>
      <c r="I91" s="16">
        <v>44.045876</v>
      </c>
      <c r="J91" s="16">
        <v>-72.710685999999995</v>
      </c>
      <c r="K91" s="16" t="s">
        <v>48</v>
      </c>
      <c r="L91" s="18">
        <v>45326</v>
      </c>
      <c r="M91" s="13">
        <f>DATEVALUE(TEXT(L91,"mm/dd/yy"))</f>
        <v>45326</v>
      </c>
      <c r="N91" s="17">
        <f>'Electronic Shop Sales Dataset'!$D91*'Electronic Shop Sales Dataset'!$E91</f>
        <v>27.25</v>
      </c>
      <c r="O91" s="12" cm="1">
        <f t="array" ref="O91">_xlfn.IFS($K91="Website",$N91*0.05, $K91="Mobile App",$N91*0.05,TRUE,0)</f>
        <v>1.3625</v>
      </c>
      <c r="P91" s="14" t="str">
        <f>IF(COUNTIF($G$2:G666,G91)&gt;1,"Returning","New")</f>
        <v>New</v>
      </c>
      <c r="Q91" s="24" t="str">
        <f t="shared" si="1"/>
        <v>February</v>
      </c>
      <c r="R91" t="str">
        <v>New Arrival</v>
      </c>
    </row>
    <row r="92" spans="1:18" x14ac:dyDescent="0.25">
      <c r="A92" s="10" t="s">
        <v>38</v>
      </c>
      <c r="B92" s="11" t="str">
        <f>'Electronic Shop Sales Dataset'!$A92&amp;"-"&amp;'Electronic Shop Sales Dataset'!$C92</f>
        <v>P00007-Laptop</v>
      </c>
      <c r="C92" s="11" t="s">
        <v>89</v>
      </c>
      <c r="D92" s="12">
        <v>623.94000000000005</v>
      </c>
      <c r="E92" s="11">
        <v>2</v>
      </c>
      <c r="F92" s="11" t="s">
        <v>13</v>
      </c>
      <c r="G92" s="11" t="s">
        <v>350</v>
      </c>
      <c r="H92" s="11" t="s">
        <v>87</v>
      </c>
      <c r="I92" s="11">
        <v>33.729759000000001</v>
      </c>
      <c r="J92" s="11">
        <v>-111.43122099999999</v>
      </c>
      <c r="K92" s="11" t="s">
        <v>23</v>
      </c>
      <c r="L92" s="13">
        <v>45327</v>
      </c>
      <c r="M92" s="13">
        <f>DATEVALUE(TEXT(L92,"mm/dd/yy"))</f>
        <v>45327</v>
      </c>
      <c r="N92" s="12">
        <f>'Electronic Shop Sales Dataset'!$D92*'Electronic Shop Sales Dataset'!$E92</f>
        <v>1247.8800000000001</v>
      </c>
      <c r="O92" s="12" cm="1">
        <f t="array" ref="O92">_xlfn.IFS($K92="Website",$N92*0.05, $K92="Mobile App",$N92*0.05,TRUE,0)</f>
        <v>0</v>
      </c>
      <c r="P92" s="14" t="str">
        <f>IF(COUNTIF($G$2:G667,G92)&gt;1,"Returning","New")</f>
        <v>New</v>
      </c>
      <c r="Q92" s="24" t="str">
        <f t="shared" si="1"/>
        <v>February</v>
      </c>
      <c r="R92" t="str">
        <v>Old Stock</v>
      </c>
    </row>
    <row r="93" spans="1:18" x14ac:dyDescent="0.25">
      <c r="A93" s="15" t="s">
        <v>19</v>
      </c>
      <c r="B93" s="16" t="str">
        <f>'Electronic Shop Sales Dataset'!$A93&amp;"-"&amp;'Electronic Shop Sales Dataset'!$C93</f>
        <v>P00003-Smart Home Hub</v>
      </c>
      <c r="C93" s="16" t="s">
        <v>42</v>
      </c>
      <c r="D93" s="17">
        <v>176.78</v>
      </c>
      <c r="E93" s="16">
        <v>5</v>
      </c>
      <c r="F93" s="16" t="s">
        <v>13</v>
      </c>
      <c r="G93" s="16" t="s">
        <v>351</v>
      </c>
      <c r="H93" s="16" t="s">
        <v>112</v>
      </c>
      <c r="I93" s="16">
        <v>39.063946000000001</v>
      </c>
      <c r="J93" s="16">
        <v>-76.802100999999993</v>
      </c>
      <c r="K93" s="16" t="s">
        <v>48</v>
      </c>
      <c r="L93" s="18">
        <v>45327</v>
      </c>
      <c r="M93" s="13">
        <f>DATEVALUE(TEXT(L93,"mm/dd/yy"))</f>
        <v>45327</v>
      </c>
      <c r="N93" s="17">
        <f>'Electronic Shop Sales Dataset'!$D93*'Electronic Shop Sales Dataset'!$E93</f>
        <v>883.9</v>
      </c>
      <c r="O93" s="12" cm="1">
        <f t="array" ref="O93">_xlfn.IFS($K93="Website",$N93*0.05, $K93="Mobile App",$N93*0.05,TRUE,0)</f>
        <v>44.195</v>
      </c>
      <c r="P93" s="14" t="str">
        <f>IF(COUNTIF($G$2:G668,G93)&gt;1,"Returning","New")</f>
        <v>New</v>
      </c>
      <c r="Q93" s="24" t="str">
        <f t="shared" si="1"/>
        <v>February</v>
      </c>
      <c r="R93" t="str">
        <v>New Arrival</v>
      </c>
    </row>
    <row r="94" spans="1:18" x14ac:dyDescent="0.25">
      <c r="A94" s="10" t="s">
        <v>41</v>
      </c>
      <c r="B94" s="11" t="str">
        <f>'Electronic Shop Sales Dataset'!$A94&amp;"-"&amp;'Electronic Shop Sales Dataset'!$C94</f>
        <v>P00024-Tablet</v>
      </c>
      <c r="C94" s="11" t="s">
        <v>83</v>
      </c>
      <c r="D94" s="12">
        <v>641.25</v>
      </c>
      <c r="E94" s="11">
        <v>2</v>
      </c>
      <c r="F94" s="11" t="s">
        <v>43</v>
      </c>
      <c r="G94" s="11" t="s">
        <v>352</v>
      </c>
      <c r="H94" s="11" t="s">
        <v>85</v>
      </c>
      <c r="I94" s="11">
        <v>31.169546</v>
      </c>
      <c r="J94" s="11">
        <v>-91.867805000000004</v>
      </c>
      <c r="K94" s="11" t="s">
        <v>23</v>
      </c>
      <c r="L94" s="13">
        <v>45328</v>
      </c>
      <c r="M94" s="13">
        <f>DATEVALUE(TEXT(L94,"mm/dd/yy"))</f>
        <v>45328</v>
      </c>
      <c r="N94" s="12">
        <f>'Electronic Shop Sales Dataset'!$D94*'Electronic Shop Sales Dataset'!$E94</f>
        <v>1282.5</v>
      </c>
      <c r="O94" s="12" cm="1">
        <f t="array" ref="O94">_xlfn.IFS($K94="Website",$N94*0.05, $K94="Mobile App",$N94*0.05,TRUE,0)</f>
        <v>0</v>
      </c>
      <c r="P94" s="14" t="str">
        <f>IF(COUNTIF($G$2:G669,G94)&gt;1,"Returning","New")</f>
        <v>New</v>
      </c>
      <c r="Q94" s="24" t="str">
        <f t="shared" si="1"/>
        <v>February</v>
      </c>
      <c r="R94" t="str">
        <v>New Arrival</v>
      </c>
    </row>
    <row r="95" spans="1:18" x14ac:dyDescent="0.25">
      <c r="A95" s="15" t="s">
        <v>117</v>
      </c>
      <c r="B95" s="16" t="str">
        <f>'Electronic Shop Sales Dataset'!$A95&amp;"-"&amp;'Electronic Shop Sales Dataset'!$C95</f>
        <v>P00016-Smartwatch</v>
      </c>
      <c r="C95" s="16" t="s">
        <v>62</v>
      </c>
      <c r="D95" s="17">
        <v>479.41</v>
      </c>
      <c r="E95" s="16">
        <v>3</v>
      </c>
      <c r="F95" s="16" t="s">
        <v>43</v>
      </c>
      <c r="G95" s="16" t="s">
        <v>238</v>
      </c>
      <c r="H95" s="16" t="s">
        <v>132</v>
      </c>
      <c r="I95" s="16">
        <v>27.766279000000001</v>
      </c>
      <c r="J95" s="16">
        <v>-81.686783000000005</v>
      </c>
      <c r="K95" s="16" t="s">
        <v>15</v>
      </c>
      <c r="L95" s="18">
        <v>45328</v>
      </c>
      <c r="M95" s="13">
        <f>DATEVALUE(TEXT(L95,"mm/dd/yy"))</f>
        <v>45328</v>
      </c>
      <c r="N95" s="17">
        <f>'Electronic Shop Sales Dataset'!$D95*'Electronic Shop Sales Dataset'!$E95</f>
        <v>1438.23</v>
      </c>
      <c r="O95" s="12" cm="1">
        <f t="array" ref="O95">_xlfn.IFS($K95="Website",$N95*0.05, $K95="Mobile App",$N95*0.05,TRUE,0)</f>
        <v>0</v>
      </c>
      <c r="P95" s="14" t="str">
        <f>IF(COUNTIF($G$2:G670,G95)&gt;1,"Returning","New")</f>
        <v>New</v>
      </c>
      <c r="Q95" s="24" t="str">
        <f t="shared" si="1"/>
        <v>February</v>
      </c>
      <c r="R95" t="str">
        <v>New Arrival</v>
      </c>
    </row>
    <row r="96" spans="1:18" x14ac:dyDescent="0.25">
      <c r="A96" s="10" t="s">
        <v>38</v>
      </c>
      <c r="B96" s="11" t="str">
        <f>'Electronic Shop Sales Dataset'!$A96&amp;"-"&amp;'Electronic Shop Sales Dataset'!$C96</f>
        <v>P00007-Smartwatch</v>
      </c>
      <c r="C96" s="11" t="s">
        <v>62</v>
      </c>
      <c r="D96" s="12">
        <v>258.8</v>
      </c>
      <c r="E96" s="11">
        <v>3</v>
      </c>
      <c r="F96" s="11" t="s">
        <v>13</v>
      </c>
      <c r="G96" s="11" t="s">
        <v>353</v>
      </c>
      <c r="H96" s="11" t="s">
        <v>22</v>
      </c>
      <c r="I96" s="11">
        <v>32.741646000000003</v>
      </c>
      <c r="J96" s="11">
        <v>-89.678696000000002</v>
      </c>
      <c r="K96" s="11" t="s">
        <v>48</v>
      </c>
      <c r="L96" s="13">
        <v>45328</v>
      </c>
      <c r="M96" s="13">
        <f>DATEVALUE(TEXT(L96,"mm/dd/yy"))</f>
        <v>45328</v>
      </c>
      <c r="N96" s="12">
        <f>'Electronic Shop Sales Dataset'!$D96*'Electronic Shop Sales Dataset'!$E96</f>
        <v>776.40000000000009</v>
      </c>
      <c r="O96" s="12" cm="1">
        <f t="array" ref="O96">_xlfn.IFS($K96="Website",$N96*0.05, $K96="Mobile App",$N96*0.05,TRUE,0)</f>
        <v>38.820000000000007</v>
      </c>
      <c r="P96" s="14" t="str">
        <f>IF(COUNTIF($G$2:G671,G96)&gt;1,"Returning","New")</f>
        <v>New</v>
      </c>
      <c r="Q96" s="24" t="str">
        <f t="shared" si="1"/>
        <v>February</v>
      </c>
      <c r="R96" t="str">
        <v>New Arrival</v>
      </c>
    </row>
    <row r="97" spans="1:18" x14ac:dyDescent="0.25">
      <c r="A97" s="15" t="s">
        <v>19</v>
      </c>
      <c r="B97" s="16" t="str">
        <f>'Electronic Shop Sales Dataset'!$A97&amp;"-"&amp;'Electronic Shop Sales Dataset'!$C97</f>
        <v>P00003-Camera</v>
      </c>
      <c r="C97" s="16" t="s">
        <v>46</v>
      </c>
      <c r="D97" s="17">
        <v>2026.21</v>
      </c>
      <c r="E97" s="16">
        <v>2</v>
      </c>
      <c r="F97" s="16" t="s">
        <v>21</v>
      </c>
      <c r="G97" s="16" t="s">
        <v>354</v>
      </c>
      <c r="H97" s="16" t="s">
        <v>77</v>
      </c>
      <c r="I97" s="16">
        <v>44.693947000000001</v>
      </c>
      <c r="J97" s="16">
        <v>-69.381927000000005</v>
      </c>
      <c r="K97" s="16" t="s">
        <v>15</v>
      </c>
      <c r="L97" s="18">
        <v>45328</v>
      </c>
      <c r="M97" s="13">
        <f>DATEVALUE(TEXT(L97,"mm/dd/yy"))</f>
        <v>45328</v>
      </c>
      <c r="N97" s="17">
        <f>'Electronic Shop Sales Dataset'!$D97*'Electronic Shop Sales Dataset'!$E97</f>
        <v>4052.42</v>
      </c>
      <c r="O97" s="12" cm="1">
        <f t="array" ref="O97">_xlfn.IFS($K97="Website",$N97*0.05, $K97="Mobile App",$N97*0.05,TRUE,0)</f>
        <v>0</v>
      </c>
      <c r="P97" s="14" t="str">
        <f>IF(COUNTIF($G$2:G672,G97)&gt;1,"Returning","New")</f>
        <v>New</v>
      </c>
      <c r="Q97" s="24" t="str">
        <f t="shared" si="1"/>
        <v>February</v>
      </c>
      <c r="R97" t="str">
        <v>New Arrival</v>
      </c>
    </row>
    <row r="98" spans="1:18" x14ac:dyDescent="0.25">
      <c r="A98" s="10" t="s">
        <v>16</v>
      </c>
      <c r="B98" s="11" t="str">
        <f>'Electronic Shop Sales Dataset'!$A98&amp;"-"&amp;'Electronic Shop Sales Dataset'!$C98</f>
        <v>P00010-Charger</v>
      </c>
      <c r="C98" s="11" t="s">
        <v>32</v>
      </c>
      <c r="D98" s="12">
        <v>14.18</v>
      </c>
      <c r="E98" s="11">
        <v>1</v>
      </c>
      <c r="F98" s="11" t="s">
        <v>21</v>
      </c>
      <c r="G98" s="11" t="s">
        <v>355</v>
      </c>
      <c r="H98" s="11" t="s">
        <v>96</v>
      </c>
      <c r="I98" s="11">
        <v>42.011538999999999</v>
      </c>
      <c r="J98" s="11">
        <v>-93.210526000000002</v>
      </c>
      <c r="K98" s="11" t="s">
        <v>27</v>
      </c>
      <c r="L98" s="13">
        <v>45330</v>
      </c>
      <c r="M98" s="13">
        <f>DATEVALUE(TEXT(L98,"mm/dd/yy"))</f>
        <v>45330</v>
      </c>
      <c r="N98" s="12">
        <f>'Electronic Shop Sales Dataset'!$D98*'Electronic Shop Sales Dataset'!$E98</f>
        <v>14.18</v>
      </c>
      <c r="O98" s="12" cm="1">
        <f t="array" ref="O98">_xlfn.IFS($K98="Website",$N98*0.05, $K98="Mobile App",$N98*0.05,TRUE,0)</f>
        <v>0</v>
      </c>
      <c r="P98" s="14" t="str">
        <f>IF(COUNTIF($G$2:G673,G98)&gt;1,"Returning","New")</f>
        <v>New</v>
      </c>
      <c r="Q98" s="24" t="str">
        <f t="shared" si="1"/>
        <v>February</v>
      </c>
      <c r="R98" t="str">
        <v>New Arrival</v>
      </c>
    </row>
    <row r="99" spans="1:18" x14ac:dyDescent="0.25">
      <c r="A99" s="15" t="s">
        <v>19</v>
      </c>
      <c r="B99" s="16" t="str">
        <f>'Electronic Shop Sales Dataset'!$A99&amp;"-"&amp;'Electronic Shop Sales Dataset'!$C99</f>
        <v>P00003-Smartwatch</v>
      </c>
      <c r="C99" s="16" t="s">
        <v>62</v>
      </c>
      <c r="D99" s="17">
        <v>342.13</v>
      </c>
      <c r="E99" s="16">
        <v>5</v>
      </c>
      <c r="F99" s="16" t="s">
        <v>43</v>
      </c>
      <c r="G99" s="16" t="s">
        <v>356</v>
      </c>
      <c r="H99" s="16" t="s">
        <v>146</v>
      </c>
      <c r="I99" s="16">
        <v>40.590752000000002</v>
      </c>
      <c r="J99" s="16">
        <v>-77.209755000000001</v>
      </c>
      <c r="K99" s="16" t="s">
        <v>27</v>
      </c>
      <c r="L99" s="18">
        <v>45331</v>
      </c>
      <c r="M99" s="13">
        <f>DATEVALUE(TEXT(L99,"mm/dd/yy"))</f>
        <v>45331</v>
      </c>
      <c r="N99" s="17">
        <f>'Electronic Shop Sales Dataset'!$D99*'Electronic Shop Sales Dataset'!$E99</f>
        <v>1710.65</v>
      </c>
      <c r="O99" s="12" cm="1">
        <f t="array" ref="O99">_xlfn.IFS($K99="Website",$N99*0.05, $K99="Mobile App",$N99*0.05,TRUE,0)</f>
        <v>0</v>
      </c>
      <c r="P99" s="14" t="str">
        <f>IF(COUNTIF($G$2:G674,G99)&gt;1,"Returning","New")</f>
        <v>New</v>
      </c>
      <c r="Q99" s="24" t="str">
        <f t="shared" si="1"/>
        <v>February</v>
      </c>
      <c r="R99" t="str">
        <v>New Arrival</v>
      </c>
    </row>
    <row r="100" spans="1:18" x14ac:dyDescent="0.25">
      <c r="A100" s="10" t="s">
        <v>84</v>
      </c>
      <c r="B100" s="11" t="str">
        <f>'Electronic Shop Sales Dataset'!$A100&amp;"-"&amp;'Electronic Shop Sales Dataset'!$C100</f>
        <v>P00020-Headphones</v>
      </c>
      <c r="C100" s="11" t="s">
        <v>55</v>
      </c>
      <c r="D100" s="12">
        <v>119.12</v>
      </c>
      <c r="E100" s="11">
        <v>4</v>
      </c>
      <c r="F100" s="11" t="s">
        <v>43</v>
      </c>
      <c r="G100" s="11" t="s">
        <v>357</v>
      </c>
      <c r="H100" s="11" t="s">
        <v>116</v>
      </c>
      <c r="I100" s="11">
        <v>43.452491999999999</v>
      </c>
      <c r="J100" s="11">
        <v>-71.563896</v>
      </c>
      <c r="K100" s="11" t="s">
        <v>54</v>
      </c>
      <c r="L100" s="13">
        <v>45332</v>
      </c>
      <c r="M100" s="13">
        <f>DATEVALUE(TEXT(L100,"mm/dd/yy"))</f>
        <v>45332</v>
      </c>
      <c r="N100" s="12">
        <f>'Electronic Shop Sales Dataset'!$D100*'Electronic Shop Sales Dataset'!$E100</f>
        <v>476.48</v>
      </c>
      <c r="O100" s="12" cm="1">
        <f t="array" ref="O100">_xlfn.IFS($K100="Website",$N100*0.05, $K100="Mobile App",$N100*0.05,TRUE,0)</f>
        <v>23.824000000000002</v>
      </c>
      <c r="P100" s="14" t="str">
        <f>IF(COUNTIF($G$2:G675,G100)&gt;1,"Returning","New")</f>
        <v>New</v>
      </c>
      <c r="Q100" s="24" t="str">
        <f t="shared" si="1"/>
        <v>February</v>
      </c>
      <c r="R100" t="str">
        <v>New Arrival</v>
      </c>
    </row>
    <row r="101" spans="1:18" x14ac:dyDescent="0.25">
      <c r="A101" s="15" t="s">
        <v>102</v>
      </c>
      <c r="B101" s="16" t="str">
        <f>'Electronic Shop Sales Dataset'!$A101&amp;"-"&amp;'Electronic Shop Sales Dataset'!$C101</f>
        <v>P00001-Scanner</v>
      </c>
      <c r="C101" s="16" t="s">
        <v>71</v>
      </c>
      <c r="D101" s="17">
        <v>186.76</v>
      </c>
      <c r="E101" s="16">
        <v>5</v>
      </c>
      <c r="F101" s="16" t="s">
        <v>21</v>
      </c>
      <c r="G101" s="16" t="s">
        <v>358</v>
      </c>
      <c r="H101" s="16" t="s">
        <v>63</v>
      </c>
      <c r="I101" s="16">
        <v>34.840515000000003</v>
      </c>
      <c r="J101" s="16">
        <v>-106.248482</v>
      </c>
      <c r="K101" s="16" t="s">
        <v>54</v>
      </c>
      <c r="L101" s="18">
        <v>45333</v>
      </c>
      <c r="M101" s="13">
        <f>DATEVALUE(TEXT(L101,"mm/dd/yy"))</f>
        <v>45333</v>
      </c>
      <c r="N101" s="17">
        <f>'Electronic Shop Sales Dataset'!$D101*'Electronic Shop Sales Dataset'!$E101</f>
        <v>933.8</v>
      </c>
      <c r="O101" s="12" cm="1">
        <f t="array" ref="O101">_xlfn.IFS($K101="Website",$N101*0.05, $K101="Mobile App",$N101*0.05,TRUE,0)</f>
        <v>46.69</v>
      </c>
      <c r="P101" s="14" t="str">
        <f>IF(COUNTIF($G$2:G676,G101)&gt;1,"Returning","New")</f>
        <v>New</v>
      </c>
      <c r="Q101" s="24" t="str">
        <f t="shared" si="1"/>
        <v>February</v>
      </c>
      <c r="R101" t="str">
        <v>New Arrival</v>
      </c>
    </row>
    <row r="102" spans="1:18" x14ac:dyDescent="0.25">
      <c r="A102" s="10" t="s">
        <v>24</v>
      </c>
      <c r="B102" s="11" t="str">
        <f>'Electronic Shop Sales Dataset'!$A102&amp;"-"&amp;'Electronic Shop Sales Dataset'!$C102</f>
        <v>P00013-Keyboard</v>
      </c>
      <c r="C102" s="11" t="s">
        <v>29</v>
      </c>
      <c r="D102" s="12">
        <v>27.68</v>
      </c>
      <c r="E102" s="11">
        <v>5</v>
      </c>
      <c r="F102" s="11" t="s">
        <v>43</v>
      </c>
      <c r="G102" s="11" t="s">
        <v>359</v>
      </c>
      <c r="H102" s="11" t="s">
        <v>146</v>
      </c>
      <c r="I102" s="11">
        <v>40.590752000000002</v>
      </c>
      <c r="J102" s="11">
        <v>-77.209755000000001</v>
      </c>
      <c r="K102" s="11" t="s">
        <v>54</v>
      </c>
      <c r="L102" s="13">
        <v>45333</v>
      </c>
      <c r="M102" s="13">
        <f>DATEVALUE(TEXT(L102,"mm/dd/yy"))</f>
        <v>45333</v>
      </c>
      <c r="N102" s="12">
        <f>'Electronic Shop Sales Dataset'!$D102*'Electronic Shop Sales Dataset'!$E102</f>
        <v>138.4</v>
      </c>
      <c r="O102" s="12" cm="1">
        <f t="array" ref="O102">_xlfn.IFS($K102="Website",$N102*0.05, $K102="Mobile App",$N102*0.05,TRUE,0)</f>
        <v>6.9200000000000008</v>
      </c>
      <c r="P102" s="14" t="str">
        <f>IF(COUNTIF($G$2:G677,G102)&gt;1,"Returning","New")</f>
        <v>New</v>
      </c>
      <c r="Q102" s="24" t="str">
        <f t="shared" si="1"/>
        <v>February</v>
      </c>
      <c r="R102" t="str">
        <v>New Arrival</v>
      </c>
    </row>
    <row r="103" spans="1:18" x14ac:dyDescent="0.25">
      <c r="A103" s="15" t="s">
        <v>11</v>
      </c>
      <c r="B103" s="16" t="str">
        <f>'Electronic Shop Sales Dataset'!$A103&amp;"-"&amp;'Electronic Shop Sales Dataset'!$C103</f>
        <v>P00019-Power Bank</v>
      </c>
      <c r="C103" s="16" t="s">
        <v>124</v>
      </c>
      <c r="D103" s="17">
        <v>66.180000000000007</v>
      </c>
      <c r="E103" s="16">
        <v>5</v>
      </c>
      <c r="F103" s="16" t="s">
        <v>43</v>
      </c>
      <c r="G103" s="16" t="s">
        <v>360</v>
      </c>
      <c r="H103" s="16" t="s">
        <v>77</v>
      </c>
      <c r="I103" s="16">
        <v>44.693947000000001</v>
      </c>
      <c r="J103" s="16">
        <v>-69.381927000000005</v>
      </c>
      <c r="K103" s="16" t="s">
        <v>15</v>
      </c>
      <c r="L103" s="18">
        <v>45333</v>
      </c>
      <c r="M103" s="13">
        <f>DATEVALUE(TEXT(L103,"mm/dd/yy"))</f>
        <v>45333</v>
      </c>
      <c r="N103" s="17">
        <f>'Electronic Shop Sales Dataset'!$D103*'Electronic Shop Sales Dataset'!$E103</f>
        <v>330.90000000000003</v>
      </c>
      <c r="O103" s="12" cm="1">
        <f t="array" ref="O103">_xlfn.IFS($K103="Website",$N103*0.05, $K103="Mobile App",$N103*0.05,TRUE,0)</f>
        <v>0</v>
      </c>
      <c r="P103" s="14" t="str">
        <f>IF(COUNTIF($G$2:G678,G103)&gt;1,"Returning","New")</f>
        <v>New</v>
      </c>
      <c r="Q103" s="24" t="str">
        <f t="shared" si="1"/>
        <v>February</v>
      </c>
      <c r="R103" t="str">
        <v>New Arrival</v>
      </c>
    </row>
    <row r="104" spans="1:18" x14ac:dyDescent="0.25">
      <c r="A104" s="10" t="s">
        <v>49</v>
      </c>
      <c r="B104" s="11" t="str">
        <f>'Electronic Shop Sales Dataset'!$A104&amp;"-"&amp;'Electronic Shop Sales Dataset'!$C104</f>
        <v>P00023-Scanner</v>
      </c>
      <c r="C104" s="11" t="s">
        <v>71</v>
      </c>
      <c r="D104" s="12">
        <v>175.48</v>
      </c>
      <c r="E104" s="11">
        <v>3</v>
      </c>
      <c r="F104" s="11" t="s">
        <v>33</v>
      </c>
      <c r="G104" s="11" t="s">
        <v>361</v>
      </c>
      <c r="H104" s="11" t="s">
        <v>76</v>
      </c>
      <c r="I104" s="11">
        <v>33.856892000000002</v>
      </c>
      <c r="J104" s="11">
        <v>-80.945007000000004</v>
      </c>
      <c r="K104" s="11" t="s">
        <v>48</v>
      </c>
      <c r="L104" s="13">
        <v>45334</v>
      </c>
      <c r="M104" s="13">
        <f>DATEVALUE(TEXT(L104,"mm/dd/yy"))</f>
        <v>45334</v>
      </c>
      <c r="N104" s="12">
        <f>'Electronic Shop Sales Dataset'!$D104*'Electronic Shop Sales Dataset'!$E104</f>
        <v>526.43999999999994</v>
      </c>
      <c r="O104" s="12" cm="1">
        <f t="array" ref="O104">_xlfn.IFS($K104="Website",$N104*0.05, $K104="Mobile App",$N104*0.05,TRUE,0)</f>
        <v>26.321999999999999</v>
      </c>
      <c r="P104" s="14" t="str">
        <f>IF(COUNTIF($G$2:G679,G104)&gt;1,"Returning","New")</f>
        <v>New</v>
      </c>
      <c r="Q104" s="24" t="str">
        <f t="shared" si="1"/>
        <v>February</v>
      </c>
      <c r="R104" t="str">
        <v>New Arrival</v>
      </c>
    </row>
    <row r="105" spans="1:18" x14ac:dyDescent="0.25">
      <c r="A105" s="15" t="s">
        <v>49</v>
      </c>
      <c r="B105" s="16" t="str">
        <f>'Electronic Shop Sales Dataset'!$A105&amp;"-"&amp;'Electronic Shop Sales Dataset'!$C105</f>
        <v>P00023-VR Headset</v>
      </c>
      <c r="C105" s="16" t="s">
        <v>72</v>
      </c>
      <c r="D105" s="17">
        <v>711.17</v>
      </c>
      <c r="E105" s="16">
        <v>4</v>
      </c>
      <c r="F105" s="16" t="s">
        <v>13</v>
      </c>
      <c r="G105" s="16" t="s">
        <v>362</v>
      </c>
      <c r="H105" s="16" t="s">
        <v>105</v>
      </c>
      <c r="I105" s="16">
        <v>35.630065999999999</v>
      </c>
      <c r="J105" s="16">
        <v>-79.806419000000005</v>
      </c>
      <c r="K105" s="16" t="s">
        <v>54</v>
      </c>
      <c r="L105" s="18">
        <v>45334</v>
      </c>
      <c r="M105" s="13">
        <f>DATEVALUE(TEXT(L105,"mm/dd/yy"))</f>
        <v>45334</v>
      </c>
      <c r="N105" s="17">
        <f>'Electronic Shop Sales Dataset'!$D105*'Electronic Shop Sales Dataset'!$E105</f>
        <v>2844.68</v>
      </c>
      <c r="O105" s="12" cm="1">
        <f t="array" ref="O105">_xlfn.IFS($K105="Website",$N105*0.05, $K105="Mobile App",$N105*0.05,TRUE,0)</f>
        <v>142.23400000000001</v>
      </c>
      <c r="P105" s="14" t="str">
        <f>IF(COUNTIF($G$2:G680,G105)&gt;1,"Returning","New")</f>
        <v>New</v>
      </c>
      <c r="Q105" s="24" t="str">
        <f t="shared" si="1"/>
        <v>February</v>
      </c>
      <c r="R105" t="str">
        <v>New Arrival</v>
      </c>
    </row>
    <row r="106" spans="1:18" x14ac:dyDescent="0.25">
      <c r="A106" s="10" t="s">
        <v>28</v>
      </c>
      <c r="B106" s="11" t="str">
        <f>'Electronic Shop Sales Dataset'!$A106&amp;"-"&amp;'Electronic Shop Sales Dataset'!$C106</f>
        <v>P00006-Charger</v>
      </c>
      <c r="C106" s="11" t="s">
        <v>32</v>
      </c>
      <c r="D106" s="12">
        <v>19.670000000000002</v>
      </c>
      <c r="E106" s="11">
        <v>1</v>
      </c>
      <c r="F106" s="11" t="s">
        <v>43</v>
      </c>
      <c r="G106" s="11" t="s">
        <v>363</v>
      </c>
      <c r="H106" s="11" t="s">
        <v>122</v>
      </c>
      <c r="I106" s="11">
        <v>42.755966000000001</v>
      </c>
      <c r="J106" s="11">
        <v>-107.30249000000001</v>
      </c>
      <c r="K106" s="11" t="s">
        <v>48</v>
      </c>
      <c r="L106" s="13">
        <v>45334</v>
      </c>
      <c r="M106" s="13">
        <f>DATEVALUE(TEXT(L106,"mm/dd/yy"))</f>
        <v>45334</v>
      </c>
      <c r="N106" s="12">
        <f>'Electronic Shop Sales Dataset'!$D106*'Electronic Shop Sales Dataset'!$E106</f>
        <v>19.670000000000002</v>
      </c>
      <c r="O106" s="12" cm="1">
        <f t="array" ref="O106">_xlfn.IFS($K106="Website",$N106*0.05, $K106="Mobile App",$N106*0.05,TRUE,0)</f>
        <v>0.98350000000000015</v>
      </c>
      <c r="P106" s="14" t="str">
        <f>IF(COUNTIF($G$2:G681,G106)&gt;1,"Returning","New")</f>
        <v>New</v>
      </c>
      <c r="Q106" s="24" t="str">
        <f t="shared" si="1"/>
        <v>February</v>
      </c>
      <c r="R106" t="str">
        <v>New Arrival</v>
      </c>
    </row>
    <row r="107" spans="1:18" x14ac:dyDescent="0.25">
      <c r="A107" s="15" t="s">
        <v>88</v>
      </c>
      <c r="B107" s="16" t="str">
        <f>'Electronic Shop Sales Dataset'!$A107&amp;"-"&amp;'Electronic Shop Sales Dataset'!$C107</f>
        <v>P00018-Monitor</v>
      </c>
      <c r="C107" s="16" t="s">
        <v>25</v>
      </c>
      <c r="D107" s="17">
        <v>575.27</v>
      </c>
      <c r="E107" s="16">
        <v>4</v>
      </c>
      <c r="F107" s="16" t="s">
        <v>33</v>
      </c>
      <c r="G107" s="16" t="s">
        <v>364</v>
      </c>
      <c r="H107" s="16" t="s">
        <v>57</v>
      </c>
      <c r="I107" s="16">
        <v>40.150032000000003</v>
      </c>
      <c r="J107" s="16">
        <v>-111.86243399999999</v>
      </c>
      <c r="K107" s="16" t="s">
        <v>27</v>
      </c>
      <c r="L107" s="18">
        <v>45336</v>
      </c>
      <c r="M107" s="13">
        <f>DATEVALUE(TEXT(L107,"mm/dd/yy"))</f>
        <v>45336</v>
      </c>
      <c r="N107" s="17">
        <f>'Electronic Shop Sales Dataset'!$D107*'Electronic Shop Sales Dataset'!$E107</f>
        <v>2301.08</v>
      </c>
      <c r="O107" s="12" cm="1">
        <f t="array" ref="O107">_xlfn.IFS($K107="Website",$N107*0.05, $K107="Mobile App",$N107*0.05,TRUE,0)</f>
        <v>0</v>
      </c>
      <c r="P107" s="14" t="str">
        <f>IF(COUNTIF($G$2:G682,G107)&gt;1,"Returning","New")</f>
        <v>New</v>
      </c>
      <c r="Q107" s="24" t="str">
        <f t="shared" si="1"/>
        <v>February</v>
      </c>
      <c r="R107" t="str">
        <v>New Arrival</v>
      </c>
    </row>
    <row r="108" spans="1:18" x14ac:dyDescent="0.25">
      <c r="A108" s="10" t="s">
        <v>64</v>
      </c>
      <c r="B108" s="11" t="str">
        <f>'Electronic Shop Sales Dataset'!$A108&amp;"-"&amp;'Electronic Shop Sales Dataset'!$C108</f>
        <v>P00011-Hard Disk</v>
      </c>
      <c r="C108" s="11" t="s">
        <v>97</v>
      </c>
      <c r="D108" s="12">
        <v>137.6</v>
      </c>
      <c r="E108" s="11">
        <v>2</v>
      </c>
      <c r="F108" s="11" t="s">
        <v>43</v>
      </c>
      <c r="G108" s="11" t="s">
        <v>365</v>
      </c>
      <c r="H108" s="11" t="s">
        <v>67</v>
      </c>
      <c r="I108" s="11">
        <v>46.921925000000002</v>
      </c>
      <c r="J108" s="11">
        <v>-110.454353</v>
      </c>
      <c r="K108" s="11" t="s">
        <v>27</v>
      </c>
      <c r="L108" s="13">
        <v>45337</v>
      </c>
      <c r="M108" s="13">
        <f>DATEVALUE(TEXT(L108,"mm/dd/yy"))</f>
        <v>45337</v>
      </c>
      <c r="N108" s="12">
        <f>'Electronic Shop Sales Dataset'!$D108*'Electronic Shop Sales Dataset'!$E108</f>
        <v>275.2</v>
      </c>
      <c r="O108" s="12" cm="1">
        <f t="array" ref="O108">_xlfn.IFS($K108="Website",$N108*0.05, $K108="Mobile App",$N108*0.05,TRUE,0)</f>
        <v>0</v>
      </c>
      <c r="P108" s="14" t="str">
        <f>IF(COUNTIF($G$2:G683,G108)&gt;1,"Returning","New")</f>
        <v>New</v>
      </c>
      <c r="Q108" s="24" t="str">
        <f t="shared" si="1"/>
        <v>February</v>
      </c>
      <c r="R108" t="str">
        <v>New Arrival</v>
      </c>
    </row>
    <row r="109" spans="1:18" x14ac:dyDescent="0.25">
      <c r="A109" s="15" t="s">
        <v>88</v>
      </c>
      <c r="B109" s="16" t="str">
        <f>'Electronic Shop Sales Dataset'!$A109&amp;"-"&amp;'Electronic Shop Sales Dataset'!$C109</f>
        <v>P00018-Charger</v>
      </c>
      <c r="C109" s="16" t="s">
        <v>32</v>
      </c>
      <c r="D109" s="17">
        <v>16.079999999999998</v>
      </c>
      <c r="E109" s="16">
        <v>4</v>
      </c>
      <c r="F109" s="16" t="s">
        <v>13</v>
      </c>
      <c r="G109" s="16" t="s">
        <v>366</v>
      </c>
      <c r="H109" s="16" t="s">
        <v>78</v>
      </c>
      <c r="I109" s="16">
        <v>31.054487000000002</v>
      </c>
      <c r="J109" s="16">
        <v>-97.563461000000004</v>
      </c>
      <c r="K109" s="16" t="s">
        <v>27</v>
      </c>
      <c r="L109" s="18">
        <v>45337</v>
      </c>
      <c r="M109" s="13">
        <f>DATEVALUE(TEXT(L109,"mm/dd/yy"))</f>
        <v>45337</v>
      </c>
      <c r="N109" s="17">
        <f>'Electronic Shop Sales Dataset'!$D109*'Electronic Shop Sales Dataset'!$E109</f>
        <v>64.319999999999993</v>
      </c>
      <c r="O109" s="12" cm="1">
        <f t="array" ref="O109">_xlfn.IFS($K109="Website",$N109*0.05, $K109="Mobile App",$N109*0.05,TRUE,0)</f>
        <v>0</v>
      </c>
      <c r="P109" s="14" t="str">
        <f>IF(COUNTIF($G$2:G684,G109)&gt;1,"Returning","New")</f>
        <v>New</v>
      </c>
      <c r="Q109" s="24" t="str">
        <f t="shared" si="1"/>
        <v>February</v>
      </c>
      <c r="R109" t="str">
        <v>New Arrival</v>
      </c>
    </row>
    <row r="110" spans="1:18" x14ac:dyDescent="0.25">
      <c r="A110" s="10" t="s">
        <v>16</v>
      </c>
      <c r="B110" s="11" t="str">
        <f>'Electronic Shop Sales Dataset'!$A110&amp;"-"&amp;'Electronic Shop Sales Dataset'!$C110</f>
        <v>P00010-Camera</v>
      </c>
      <c r="C110" s="11" t="s">
        <v>46</v>
      </c>
      <c r="D110" s="12">
        <v>2190.44</v>
      </c>
      <c r="E110" s="11">
        <v>5</v>
      </c>
      <c r="F110" s="11" t="s">
        <v>33</v>
      </c>
      <c r="G110" s="11" t="s">
        <v>367</v>
      </c>
      <c r="H110" s="11" t="s">
        <v>146</v>
      </c>
      <c r="I110" s="11">
        <v>40.590752000000002</v>
      </c>
      <c r="J110" s="11">
        <v>-77.209755000000001</v>
      </c>
      <c r="K110" s="11" t="s">
        <v>23</v>
      </c>
      <c r="L110" s="13">
        <v>45338</v>
      </c>
      <c r="M110" s="13">
        <f>DATEVALUE(TEXT(L110,"mm/dd/yy"))</f>
        <v>45338</v>
      </c>
      <c r="N110" s="12">
        <f>'Electronic Shop Sales Dataset'!$D110*'Electronic Shop Sales Dataset'!$E110</f>
        <v>10952.2</v>
      </c>
      <c r="O110" s="12" cm="1">
        <f t="array" ref="O110">_xlfn.IFS($K110="Website",$N110*0.05, $K110="Mobile App",$N110*0.05,TRUE,0)</f>
        <v>0</v>
      </c>
      <c r="P110" s="14" t="str">
        <f>IF(COUNTIF($G$2:G685,G110)&gt;1,"Returning","New")</f>
        <v>New</v>
      </c>
      <c r="Q110" s="24" t="str">
        <f t="shared" si="1"/>
        <v>February</v>
      </c>
      <c r="R110" t="str">
        <v>New Arrival</v>
      </c>
    </row>
    <row r="111" spans="1:18" x14ac:dyDescent="0.25">
      <c r="A111" s="15" t="s">
        <v>92</v>
      </c>
      <c r="B111" s="16" t="str">
        <f>'Electronic Shop Sales Dataset'!$A111&amp;"-"&amp;'Electronic Shop Sales Dataset'!$C111</f>
        <v>P00004-Scanner</v>
      </c>
      <c r="C111" s="16" t="s">
        <v>71</v>
      </c>
      <c r="D111" s="17">
        <v>205.06</v>
      </c>
      <c r="E111" s="16">
        <v>3</v>
      </c>
      <c r="F111" s="16" t="s">
        <v>13</v>
      </c>
      <c r="G111" s="16" t="s">
        <v>368</v>
      </c>
      <c r="H111" s="16" t="s">
        <v>77</v>
      </c>
      <c r="I111" s="16">
        <v>44.693947000000001</v>
      </c>
      <c r="J111" s="16">
        <v>-69.381927000000005</v>
      </c>
      <c r="K111" s="16" t="s">
        <v>15</v>
      </c>
      <c r="L111" s="18">
        <v>45338</v>
      </c>
      <c r="M111" s="13">
        <f>DATEVALUE(TEXT(L111,"mm/dd/yy"))</f>
        <v>45338</v>
      </c>
      <c r="N111" s="17">
        <f>'Electronic Shop Sales Dataset'!$D111*'Electronic Shop Sales Dataset'!$E111</f>
        <v>615.18000000000006</v>
      </c>
      <c r="O111" s="12" cm="1">
        <f t="array" ref="O111">_xlfn.IFS($K111="Website",$N111*0.05, $K111="Mobile App",$N111*0.05,TRUE,0)</f>
        <v>0</v>
      </c>
      <c r="P111" s="14" t="str">
        <f>IF(COUNTIF($G$2:G686,G111)&gt;1,"Returning","New")</f>
        <v>New</v>
      </c>
      <c r="Q111" s="24" t="str">
        <f t="shared" si="1"/>
        <v>February</v>
      </c>
      <c r="R111" t="str">
        <v>New Arrival</v>
      </c>
    </row>
    <row r="112" spans="1:18" x14ac:dyDescent="0.25">
      <c r="A112" s="10" t="s">
        <v>41</v>
      </c>
      <c r="B112" s="11" t="str">
        <f>'Electronic Shop Sales Dataset'!$A112&amp;"-"&amp;'Electronic Shop Sales Dataset'!$C112</f>
        <v>P00024-Speaker</v>
      </c>
      <c r="C112" s="11" t="s">
        <v>106</v>
      </c>
      <c r="D112" s="12">
        <v>154.13</v>
      </c>
      <c r="E112" s="11">
        <v>1</v>
      </c>
      <c r="F112" s="11" t="s">
        <v>21</v>
      </c>
      <c r="G112" s="11" t="s">
        <v>369</v>
      </c>
      <c r="H112" s="11" t="s">
        <v>91</v>
      </c>
      <c r="I112" s="11">
        <v>38.313515000000002</v>
      </c>
      <c r="J112" s="11">
        <v>-117.055374</v>
      </c>
      <c r="K112" s="11" t="s">
        <v>54</v>
      </c>
      <c r="L112" s="13">
        <v>45339</v>
      </c>
      <c r="M112" s="13">
        <f>DATEVALUE(TEXT(L112,"mm/dd/yy"))</f>
        <v>45339</v>
      </c>
      <c r="N112" s="12">
        <f>'Electronic Shop Sales Dataset'!$D112*'Electronic Shop Sales Dataset'!$E112</f>
        <v>154.13</v>
      </c>
      <c r="O112" s="12" cm="1">
        <f t="array" ref="O112">_xlfn.IFS($K112="Website",$N112*0.05, $K112="Mobile App",$N112*0.05,TRUE,0)</f>
        <v>7.7065000000000001</v>
      </c>
      <c r="P112" s="14" t="str">
        <f>IF(COUNTIF($G$2:G687,G112)&gt;1,"Returning","New")</f>
        <v>New</v>
      </c>
      <c r="Q112" s="24" t="str">
        <f t="shared" si="1"/>
        <v>February</v>
      </c>
      <c r="R112" t="str">
        <v>New Arrival</v>
      </c>
    </row>
    <row r="113" spans="1:18" x14ac:dyDescent="0.25">
      <c r="A113" s="15" t="s">
        <v>60</v>
      </c>
      <c r="B113" s="16" t="str">
        <f>'Electronic Shop Sales Dataset'!$A113&amp;"-"&amp;'Electronic Shop Sales Dataset'!$C113</f>
        <v>P00015-Gaming Console</v>
      </c>
      <c r="C113" s="16" t="s">
        <v>17</v>
      </c>
      <c r="D113" s="17">
        <v>596.38</v>
      </c>
      <c r="E113" s="16">
        <v>3</v>
      </c>
      <c r="F113" s="16" t="s">
        <v>43</v>
      </c>
      <c r="G113" s="16" t="s">
        <v>223</v>
      </c>
      <c r="H113" s="16" t="s">
        <v>53</v>
      </c>
      <c r="I113" s="16">
        <v>40.298904</v>
      </c>
      <c r="J113" s="16">
        <v>-74.521011000000001</v>
      </c>
      <c r="K113" s="16" t="s">
        <v>15</v>
      </c>
      <c r="L113" s="18">
        <v>45339</v>
      </c>
      <c r="M113" s="13">
        <f>DATEVALUE(TEXT(L113,"mm/dd/yy"))</f>
        <v>45339</v>
      </c>
      <c r="N113" s="17">
        <f>'Electronic Shop Sales Dataset'!$D113*'Electronic Shop Sales Dataset'!$E113</f>
        <v>1789.1399999999999</v>
      </c>
      <c r="O113" s="12" cm="1">
        <f t="array" ref="O113">_xlfn.IFS($K113="Website",$N113*0.05, $K113="Mobile App",$N113*0.05,TRUE,0)</f>
        <v>0</v>
      </c>
      <c r="P113" s="14" t="str">
        <f>IF(COUNTIF($G$2:G688,G113)&gt;1,"Returning","New")</f>
        <v>New</v>
      </c>
      <c r="Q113" s="24" t="str">
        <f t="shared" si="1"/>
        <v>February</v>
      </c>
      <c r="R113" t="str">
        <v>New Arrival</v>
      </c>
    </row>
    <row r="114" spans="1:18" x14ac:dyDescent="0.25">
      <c r="A114" s="10" t="s">
        <v>41</v>
      </c>
      <c r="B114" s="11" t="str">
        <f>'Electronic Shop Sales Dataset'!$A114&amp;"-"&amp;'Electronic Shop Sales Dataset'!$C114</f>
        <v>P00024-Mouse</v>
      </c>
      <c r="C114" s="11" t="s">
        <v>95</v>
      </c>
      <c r="D114" s="12">
        <v>11.78</v>
      </c>
      <c r="E114" s="11">
        <v>3</v>
      </c>
      <c r="F114" s="11" t="s">
        <v>13</v>
      </c>
      <c r="G114" s="11" t="s">
        <v>119</v>
      </c>
      <c r="H114" s="11" t="s">
        <v>116</v>
      </c>
      <c r="I114" s="11">
        <v>43.452491999999999</v>
      </c>
      <c r="J114" s="11">
        <v>-71.563896</v>
      </c>
      <c r="K114" s="11" t="s">
        <v>48</v>
      </c>
      <c r="L114" s="13">
        <v>45339</v>
      </c>
      <c r="M114" s="13">
        <f>DATEVALUE(TEXT(L114,"mm/dd/yy"))</f>
        <v>45339</v>
      </c>
      <c r="N114" s="12">
        <f>'Electronic Shop Sales Dataset'!$D114*'Electronic Shop Sales Dataset'!$E114</f>
        <v>35.339999999999996</v>
      </c>
      <c r="O114" s="12" cm="1">
        <f t="array" ref="O114">_xlfn.IFS($K114="Website",$N114*0.05, $K114="Mobile App",$N114*0.05,TRUE,0)</f>
        <v>1.7669999999999999</v>
      </c>
      <c r="P114" s="14" t="str">
        <f>IF(COUNTIF($G$2:G689,G114)&gt;1,"Returning","New")</f>
        <v>New</v>
      </c>
      <c r="Q114" s="24" t="str">
        <f t="shared" si="1"/>
        <v>February</v>
      </c>
      <c r="R114" t="str">
        <v>New Arrival</v>
      </c>
    </row>
    <row r="115" spans="1:18" x14ac:dyDescent="0.25">
      <c r="A115" s="15" t="s">
        <v>31</v>
      </c>
      <c r="B115" s="16" t="str">
        <f>'Electronic Shop Sales Dataset'!$A115&amp;"-"&amp;'Electronic Shop Sales Dataset'!$C115</f>
        <v>P00022-Hard Disk</v>
      </c>
      <c r="C115" s="16" t="s">
        <v>97</v>
      </c>
      <c r="D115" s="17">
        <v>96.68</v>
      </c>
      <c r="E115" s="16">
        <v>3</v>
      </c>
      <c r="F115" s="16" t="s">
        <v>21</v>
      </c>
      <c r="G115" s="16" t="s">
        <v>370</v>
      </c>
      <c r="H115" s="16" t="s">
        <v>99</v>
      </c>
      <c r="I115" s="16">
        <v>37.668140000000001</v>
      </c>
      <c r="J115" s="16">
        <v>-84.670067000000003</v>
      </c>
      <c r="K115" s="16" t="s">
        <v>15</v>
      </c>
      <c r="L115" s="18">
        <v>45340</v>
      </c>
      <c r="M115" s="13">
        <f>DATEVALUE(TEXT(L115,"mm/dd/yy"))</f>
        <v>45340</v>
      </c>
      <c r="N115" s="17">
        <f>'Electronic Shop Sales Dataset'!$D115*'Electronic Shop Sales Dataset'!$E115</f>
        <v>290.04000000000002</v>
      </c>
      <c r="O115" s="12" cm="1">
        <f t="array" ref="O115">_xlfn.IFS($K115="Website",$N115*0.05, $K115="Mobile App",$N115*0.05,TRUE,0)</f>
        <v>0</v>
      </c>
      <c r="P115" s="14" t="str">
        <f>IF(COUNTIF($G$2:G690,G115)&gt;1,"Returning","New")</f>
        <v>New</v>
      </c>
      <c r="Q115" s="24" t="str">
        <f t="shared" si="1"/>
        <v>February</v>
      </c>
      <c r="R115" t="str">
        <v>New Arrival</v>
      </c>
    </row>
    <row r="116" spans="1:18" x14ac:dyDescent="0.25">
      <c r="A116" s="10" t="s">
        <v>60</v>
      </c>
      <c r="B116" s="11" t="str">
        <f>'Electronic Shop Sales Dataset'!$A116&amp;"-"&amp;'Electronic Shop Sales Dataset'!$C116</f>
        <v>P00015-Headphones</v>
      </c>
      <c r="C116" s="11" t="s">
        <v>55</v>
      </c>
      <c r="D116" s="12">
        <v>144.91999999999999</v>
      </c>
      <c r="E116" s="11">
        <v>2</v>
      </c>
      <c r="F116" s="11" t="s">
        <v>13</v>
      </c>
      <c r="G116" s="11" t="s">
        <v>371</v>
      </c>
      <c r="H116" s="11" t="s">
        <v>93</v>
      </c>
      <c r="I116" s="11">
        <v>38.491225999999997</v>
      </c>
      <c r="J116" s="11">
        <v>-80.954455999999993</v>
      </c>
      <c r="K116" s="11" t="s">
        <v>54</v>
      </c>
      <c r="L116" s="13">
        <v>45340</v>
      </c>
      <c r="M116" s="13">
        <f>DATEVALUE(TEXT(L116,"mm/dd/yy"))</f>
        <v>45340</v>
      </c>
      <c r="N116" s="12">
        <f>'Electronic Shop Sales Dataset'!$D116*'Electronic Shop Sales Dataset'!$E116</f>
        <v>289.83999999999997</v>
      </c>
      <c r="O116" s="12" cm="1">
        <f t="array" ref="O116">_xlfn.IFS($K116="Website",$N116*0.05, $K116="Mobile App",$N116*0.05,TRUE,0)</f>
        <v>14.491999999999999</v>
      </c>
      <c r="P116" s="14" t="str">
        <f>IF(COUNTIF($G$2:G691,G116)&gt;1,"Returning","New")</f>
        <v>New</v>
      </c>
      <c r="Q116" s="24" t="str">
        <f t="shared" si="1"/>
        <v>February</v>
      </c>
      <c r="R116" t="str">
        <v>New Arrival</v>
      </c>
    </row>
    <row r="117" spans="1:18" x14ac:dyDescent="0.25">
      <c r="A117" s="15" t="s">
        <v>102</v>
      </c>
      <c r="B117" s="16" t="str">
        <f>'Electronic Shop Sales Dataset'!$A117&amp;"-"&amp;'Electronic Shop Sales Dataset'!$C117</f>
        <v>P00001-Speaker</v>
      </c>
      <c r="C117" s="16" t="s">
        <v>106</v>
      </c>
      <c r="D117" s="17">
        <v>462.49</v>
      </c>
      <c r="E117" s="16">
        <v>1</v>
      </c>
      <c r="F117" s="16" t="s">
        <v>13</v>
      </c>
      <c r="G117" s="16" t="s">
        <v>372</v>
      </c>
      <c r="H117" s="16" t="s">
        <v>57</v>
      </c>
      <c r="I117" s="16">
        <v>40.150032000000003</v>
      </c>
      <c r="J117" s="16">
        <v>-111.86243399999999</v>
      </c>
      <c r="K117" s="16" t="s">
        <v>23</v>
      </c>
      <c r="L117" s="18">
        <v>45340</v>
      </c>
      <c r="M117" s="13">
        <f>DATEVALUE(TEXT(L117,"mm/dd/yy"))</f>
        <v>45340</v>
      </c>
      <c r="N117" s="17">
        <f>'Electronic Shop Sales Dataset'!$D117*'Electronic Shop Sales Dataset'!$E117</f>
        <v>462.49</v>
      </c>
      <c r="O117" s="12" cm="1">
        <f t="array" ref="O117">_xlfn.IFS($K117="Website",$N117*0.05, $K117="Mobile App",$N117*0.05,TRUE,0)</f>
        <v>0</v>
      </c>
      <c r="P117" s="14" t="str">
        <f>IF(COUNTIF($G$2:G692,G117)&gt;1,"Returning","New")</f>
        <v>New</v>
      </c>
      <c r="Q117" s="24" t="str">
        <f t="shared" si="1"/>
        <v>February</v>
      </c>
      <c r="R117" t="str">
        <v>New Arrival</v>
      </c>
    </row>
    <row r="118" spans="1:18" x14ac:dyDescent="0.25">
      <c r="A118" s="10" t="s">
        <v>31</v>
      </c>
      <c r="B118" s="11" t="str">
        <f>'Electronic Shop Sales Dataset'!$A118&amp;"-"&amp;'Electronic Shop Sales Dataset'!$C118</f>
        <v>P00022-Keyboard</v>
      </c>
      <c r="C118" s="11" t="s">
        <v>29</v>
      </c>
      <c r="D118" s="12">
        <v>111.4</v>
      </c>
      <c r="E118" s="11">
        <v>1</v>
      </c>
      <c r="F118" s="11" t="s">
        <v>13</v>
      </c>
      <c r="G118" s="11" t="s">
        <v>373</v>
      </c>
      <c r="H118" s="11" t="s">
        <v>146</v>
      </c>
      <c r="I118" s="11">
        <v>40.590752000000002</v>
      </c>
      <c r="J118" s="11">
        <v>-77.209755000000001</v>
      </c>
      <c r="K118" s="11" t="s">
        <v>15</v>
      </c>
      <c r="L118" s="13">
        <v>45341</v>
      </c>
      <c r="M118" s="13">
        <f>DATEVALUE(TEXT(L118,"mm/dd/yy"))</f>
        <v>45341</v>
      </c>
      <c r="N118" s="12">
        <f>'Electronic Shop Sales Dataset'!$D118*'Electronic Shop Sales Dataset'!$E118</f>
        <v>111.4</v>
      </c>
      <c r="O118" s="12" cm="1">
        <f t="array" ref="O118">_xlfn.IFS($K118="Website",$N118*0.05, $K118="Mobile App",$N118*0.05,TRUE,0)</f>
        <v>0</v>
      </c>
      <c r="P118" s="14" t="str">
        <f>IF(COUNTIF($G$2:G693,G118)&gt;1,"Returning","New")</f>
        <v>New</v>
      </c>
      <c r="Q118" s="24" t="str">
        <f t="shared" si="1"/>
        <v>February</v>
      </c>
      <c r="R118" t="str">
        <v>New Arrival</v>
      </c>
    </row>
    <row r="119" spans="1:18" x14ac:dyDescent="0.25">
      <c r="A119" s="15" t="s">
        <v>11</v>
      </c>
      <c r="B119" s="16" t="str">
        <f>'Electronic Shop Sales Dataset'!$A119&amp;"-"&amp;'Electronic Shop Sales Dataset'!$C119</f>
        <v>P00019-Tablet</v>
      </c>
      <c r="C119" s="16" t="s">
        <v>83</v>
      </c>
      <c r="D119" s="17">
        <v>344.11</v>
      </c>
      <c r="E119" s="16">
        <v>1</v>
      </c>
      <c r="F119" s="16" t="s">
        <v>43</v>
      </c>
      <c r="G119" s="16" t="s">
        <v>374</v>
      </c>
      <c r="H119" s="16" t="s">
        <v>116</v>
      </c>
      <c r="I119" s="16">
        <v>43.452491999999999</v>
      </c>
      <c r="J119" s="16">
        <v>-71.563896</v>
      </c>
      <c r="K119" s="16" t="s">
        <v>54</v>
      </c>
      <c r="L119" s="18">
        <v>45341</v>
      </c>
      <c r="M119" s="13">
        <f>DATEVALUE(TEXT(L119,"mm/dd/yy"))</f>
        <v>45341</v>
      </c>
      <c r="N119" s="17">
        <f>'Electronic Shop Sales Dataset'!$D119*'Electronic Shop Sales Dataset'!$E119</f>
        <v>344.11</v>
      </c>
      <c r="O119" s="12" cm="1">
        <f t="array" ref="O119">_xlfn.IFS($K119="Website",$N119*0.05, $K119="Mobile App",$N119*0.05,TRUE,0)</f>
        <v>17.205500000000001</v>
      </c>
      <c r="P119" s="14" t="str">
        <f>IF(COUNTIF($G$2:G694,G119)&gt;1,"Returning","New")</f>
        <v>New</v>
      </c>
      <c r="Q119" s="24" t="str">
        <f t="shared" si="1"/>
        <v>February</v>
      </c>
      <c r="R119" t="str">
        <v>New Arrival</v>
      </c>
    </row>
    <row r="120" spans="1:18" x14ac:dyDescent="0.25">
      <c r="A120" s="10" t="s">
        <v>84</v>
      </c>
      <c r="B120" s="11" t="str">
        <f>'Electronic Shop Sales Dataset'!$A120&amp;"-"&amp;'Electronic Shop Sales Dataset'!$C120</f>
        <v>P00020-Charger</v>
      </c>
      <c r="C120" s="11" t="s">
        <v>32</v>
      </c>
      <c r="D120" s="12">
        <v>46.78</v>
      </c>
      <c r="E120" s="11">
        <v>5</v>
      </c>
      <c r="F120" s="11" t="s">
        <v>13</v>
      </c>
      <c r="G120" s="11" t="s">
        <v>375</v>
      </c>
      <c r="H120" s="11" t="s">
        <v>143</v>
      </c>
      <c r="I120" s="11">
        <v>35.565342000000001</v>
      </c>
      <c r="J120" s="11">
        <v>-96.928916999999998</v>
      </c>
      <c r="K120" s="11" t="s">
        <v>54</v>
      </c>
      <c r="L120" s="13">
        <v>45342</v>
      </c>
      <c r="M120" s="13">
        <f>DATEVALUE(TEXT(L120,"mm/dd/yy"))</f>
        <v>45342</v>
      </c>
      <c r="N120" s="12">
        <f>'Electronic Shop Sales Dataset'!$D120*'Electronic Shop Sales Dataset'!$E120</f>
        <v>233.9</v>
      </c>
      <c r="O120" s="12" cm="1">
        <f t="array" ref="O120">_xlfn.IFS($K120="Website",$N120*0.05, $K120="Mobile App",$N120*0.05,TRUE,0)</f>
        <v>11.695</v>
      </c>
      <c r="P120" s="14" t="str">
        <f>IF(COUNTIF($G$2:G695,G120)&gt;1,"Returning","New")</f>
        <v>New</v>
      </c>
      <c r="Q120" s="24" t="str">
        <f t="shared" si="1"/>
        <v>February</v>
      </c>
      <c r="R120" t="str">
        <v>New Arrival</v>
      </c>
    </row>
    <row r="121" spans="1:18" x14ac:dyDescent="0.25">
      <c r="A121" s="15" t="s">
        <v>90</v>
      </c>
      <c r="B121" s="16" t="str">
        <f>'Electronic Shop Sales Dataset'!$A121&amp;"-"&amp;'Electronic Shop Sales Dataset'!$C121</f>
        <v>P00014-Monitor</v>
      </c>
      <c r="C121" s="16" t="s">
        <v>25</v>
      </c>
      <c r="D121" s="17">
        <v>448.62</v>
      </c>
      <c r="E121" s="16">
        <v>3</v>
      </c>
      <c r="F121" s="16" t="s">
        <v>33</v>
      </c>
      <c r="G121" s="16" t="s">
        <v>248</v>
      </c>
      <c r="H121" s="16" t="s">
        <v>22</v>
      </c>
      <c r="I121" s="16">
        <v>32.741646000000003</v>
      </c>
      <c r="J121" s="16">
        <v>-89.678696000000002</v>
      </c>
      <c r="K121" s="16" t="s">
        <v>23</v>
      </c>
      <c r="L121" s="18">
        <v>45342</v>
      </c>
      <c r="M121" s="13">
        <f>DATEVALUE(TEXT(L121,"mm/dd/yy"))</f>
        <v>45342</v>
      </c>
      <c r="N121" s="17">
        <f>'Electronic Shop Sales Dataset'!$D121*'Electronic Shop Sales Dataset'!$E121</f>
        <v>1345.8600000000001</v>
      </c>
      <c r="O121" s="12" cm="1">
        <f t="array" ref="O121">_xlfn.IFS($K121="Website",$N121*0.05, $K121="Mobile App",$N121*0.05,TRUE,0)</f>
        <v>0</v>
      </c>
      <c r="P121" s="14" t="str">
        <f>IF(COUNTIF($G$2:G696,G121)&gt;1,"Returning","New")</f>
        <v>New</v>
      </c>
      <c r="Q121" s="24" t="str">
        <f t="shared" si="1"/>
        <v>February</v>
      </c>
      <c r="R121" t="str">
        <v>New Arrival</v>
      </c>
    </row>
    <row r="122" spans="1:18" x14ac:dyDescent="0.25">
      <c r="A122" s="10" t="s">
        <v>64</v>
      </c>
      <c r="B122" s="11" t="str">
        <f>'Electronic Shop Sales Dataset'!$A122&amp;"-"&amp;'Electronic Shop Sales Dataset'!$C122</f>
        <v>P00011-Printer</v>
      </c>
      <c r="C122" s="11" t="s">
        <v>52</v>
      </c>
      <c r="D122" s="12">
        <v>261.26</v>
      </c>
      <c r="E122" s="11">
        <v>2</v>
      </c>
      <c r="F122" s="11" t="s">
        <v>21</v>
      </c>
      <c r="G122" s="11" t="s">
        <v>376</v>
      </c>
      <c r="H122" s="11" t="s">
        <v>112</v>
      </c>
      <c r="I122" s="11">
        <v>39.063946000000001</v>
      </c>
      <c r="J122" s="11">
        <v>-76.802100999999993</v>
      </c>
      <c r="K122" s="11" t="s">
        <v>23</v>
      </c>
      <c r="L122" s="13">
        <v>45342</v>
      </c>
      <c r="M122" s="13">
        <f>DATEVALUE(TEXT(L122,"mm/dd/yy"))</f>
        <v>45342</v>
      </c>
      <c r="N122" s="12">
        <f>'Electronic Shop Sales Dataset'!$D122*'Electronic Shop Sales Dataset'!$E122</f>
        <v>522.52</v>
      </c>
      <c r="O122" s="12" cm="1">
        <f t="array" ref="O122">_xlfn.IFS($K122="Website",$N122*0.05, $K122="Mobile App",$N122*0.05,TRUE,0)</f>
        <v>0</v>
      </c>
      <c r="P122" s="14" t="str">
        <f>IF(COUNTIF($G$2:G697,G122)&gt;1,"Returning","New")</f>
        <v>New</v>
      </c>
      <c r="Q122" s="24" t="str">
        <f t="shared" si="1"/>
        <v>February</v>
      </c>
      <c r="R122" t="str">
        <v>New Arrival</v>
      </c>
    </row>
    <row r="123" spans="1:18" x14ac:dyDescent="0.25">
      <c r="A123" s="15" t="s">
        <v>86</v>
      </c>
      <c r="B123" s="16" t="str">
        <f>'Electronic Shop Sales Dataset'!$A123&amp;"-"&amp;'Electronic Shop Sales Dataset'!$C123</f>
        <v>P00021-Mouse</v>
      </c>
      <c r="C123" s="16" t="s">
        <v>95</v>
      </c>
      <c r="D123" s="17">
        <v>55.42</v>
      </c>
      <c r="E123" s="16">
        <v>1</v>
      </c>
      <c r="F123" s="16" t="s">
        <v>21</v>
      </c>
      <c r="G123" s="16" t="s">
        <v>377</v>
      </c>
      <c r="H123" s="16" t="s">
        <v>14</v>
      </c>
      <c r="I123" s="16">
        <v>42.230170999999999</v>
      </c>
      <c r="J123" s="16">
        <v>-71.530106000000004</v>
      </c>
      <c r="K123" s="16" t="s">
        <v>54</v>
      </c>
      <c r="L123" s="18">
        <v>45344</v>
      </c>
      <c r="M123" s="13">
        <f>DATEVALUE(TEXT(L123,"mm/dd/yy"))</f>
        <v>45344</v>
      </c>
      <c r="N123" s="17">
        <f>'Electronic Shop Sales Dataset'!$D123*'Electronic Shop Sales Dataset'!$E123</f>
        <v>55.42</v>
      </c>
      <c r="O123" s="12" cm="1">
        <f t="array" ref="O123">_xlfn.IFS($K123="Website",$N123*0.05, $K123="Mobile App",$N123*0.05,TRUE,0)</f>
        <v>2.7710000000000004</v>
      </c>
      <c r="P123" s="14" t="str">
        <f>IF(COUNTIF($G$2:G698,G123)&gt;1,"Returning","New")</f>
        <v>Returning</v>
      </c>
      <c r="Q123" s="24" t="str">
        <f t="shared" si="1"/>
        <v>February</v>
      </c>
      <c r="R123" t="str">
        <v>New Arrival</v>
      </c>
    </row>
    <row r="124" spans="1:18" x14ac:dyDescent="0.25">
      <c r="A124" s="10" t="s">
        <v>31</v>
      </c>
      <c r="B124" s="11" t="str">
        <f>'Electronic Shop Sales Dataset'!$A124&amp;"-"&amp;'Electronic Shop Sales Dataset'!$C124</f>
        <v>P00022-Graphics Card</v>
      </c>
      <c r="C124" s="11" t="s">
        <v>125</v>
      </c>
      <c r="D124" s="12">
        <v>509.04</v>
      </c>
      <c r="E124" s="11">
        <v>5</v>
      </c>
      <c r="F124" s="11" t="s">
        <v>33</v>
      </c>
      <c r="G124" s="11" t="s">
        <v>378</v>
      </c>
      <c r="H124" s="11" t="s">
        <v>110</v>
      </c>
      <c r="I124" s="11">
        <v>33.040619</v>
      </c>
      <c r="J124" s="11">
        <v>-83.643073999999999</v>
      </c>
      <c r="K124" s="11" t="s">
        <v>23</v>
      </c>
      <c r="L124" s="13">
        <v>45346</v>
      </c>
      <c r="M124" s="13">
        <f>DATEVALUE(TEXT(L124,"mm/dd/yy"))</f>
        <v>45346</v>
      </c>
      <c r="N124" s="12">
        <f>'Electronic Shop Sales Dataset'!$D124*'Electronic Shop Sales Dataset'!$E124</f>
        <v>2545.2000000000003</v>
      </c>
      <c r="O124" s="12" cm="1">
        <f t="array" ref="O124">_xlfn.IFS($K124="Website",$N124*0.05, $K124="Mobile App",$N124*0.05,TRUE,0)</f>
        <v>0</v>
      </c>
      <c r="P124" s="14" t="str">
        <f>IF(COUNTIF($G$2:G699,G124)&gt;1,"Returning","New")</f>
        <v>New</v>
      </c>
      <c r="Q124" s="24" t="str">
        <f t="shared" si="1"/>
        <v>February</v>
      </c>
      <c r="R124" t="str">
        <v>New Arrival</v>
      </c>
    </row>
    <row r="125" spans="1:18" x14ac:dyDescent="0.25">
      <c r="A125" s="15" t="s">
        <v>69</v>
      </c>
      <c r="B125" s="16" t="str">
        <f>'Electronic Shop Sales Dataset'!$A125&amp;"-"&amp;'Electronic Shop Sales Dataset'!$C125</f>
        <v>P00005-Printer</v>
      </c>
      <c r="C125" s="16" t="s">
        <v>52</v>
      </c>
      <c r="D125" s="17">
        <v>386.3</v>
      </c>
      <c r="E125" s="16">
        <v>2</v>
      </c>
      <c r="F125" s="16" t="s">
        <v>21</v>
      </c>
      <c r="G125" s="16" t="s">
        <v>379</v>
      </c>
      <c r="H125" s="16" t="s">
        <v>105</v>
      </c>
      <c r="I125" s="16">
        <v>35.630065999999999</v>
      </c>
      <c r="J125" s="16">
        <v>-79.806419000000005</v>
      </c>
      <c r="K125" s="16" t="s">
        <v>15</v>
      </c>
      <c r="L125" s="18">
        <v>45346</v>
      </c>
      <c r="M125" s="13">
        <f>DATEVALUE(TEXT(L125,"mm/dd/yy"))</f>
        <v>45346</v>
      </c>
      <c r="N125" s="17">
        <f>'Electronic Shop Sales Dataset'!$D125*'Electronic Shop Sales Dataset'!$E125</f>
        <v>772.6</v>
      </c>
      <c r="O125" s="12" cm="1">
        <f t="array" ref="O125">_xlfn.IFS($K125="Website",$N125*0.05, $K125="Mobile App",$N125*0.05,TRUE,0)</f>
        <v>0</v>
      </c>
      <c r="P125" s="14" t="str">
        <f>IF(COUNTIF($G$2:G700,G125)&gt;1,"Returning","New")</f>
        <v>New</v>
      </c>
      <c r="Q125" s="24" t="str">
        <f t="shared" si="1"/>
        <v>February</v>
      </c>
      <c r="R125" t="str">
        <v>New Arrival</v>
      </c>
    </row>
    <row r="126" spans="1:18" x14ac:dyDescent="0.25">
      <c r="A126" s="10" t="s">
        <v>64</v>
      </c>
      <c r="B126" s="11" t="str">
        <f>'Electronic Shop Sales Dataset'!$A126&amp;"-"&amp;'Electronic Shop Sales Dataset'!$C126</f>
        <v>P00011-Speaker</v>
      </c>
      <c r="C126" s="11" t="s">
        <v>106</v>
      </c>
      <c r="D126" s="12">
        <v>472.48</v>
      </c>
      <c r="E126" s="11">
        <v>4</v>
      </c>
      <c r="F126" s="11" t="s">
        <v>43</v>
      </c>
      <c r="G126" s="11" t="s">
        <v>380</v>
      </c>
      <c r="H126" s="11" t="s">
        <v>76</v>
      </c>
      <c r="I126" s="11">
        <v>33.856892000000002</v>
      </c>
      <c r="J126" s="11">
        <v>-80.945007000000004</v>
      </c>
      <c r="K126" s="11" t="s">
        <v>54</v>
      </c>
      <c r="L126" s="13">
        <v>45346</v>
      </c>
      <c r="M126" s="13">
        <f>DATEVALUE(TEXT(L126,"mm/dd/yy"))</f>
        <v>45346</v>
      </c>
      <c r="N126" s="12">
        <f>'Electronic Shop Sales Dataset'!$D126*'Electronic Shop Sales Dataset'!$E126</f>
        <v>1889.92</v>
      </c>
      <c r="O126" s="12" cm="1">
        <f t="array" ref="O126">_xlfn.IFS($K126="Website",$N126*0.05, $K126="Mobile App",$N126*0.05,TRUE,0)</f>
        <v>94.496000000000009</v>
      </c>
      <c r="P126" s="14" t="str">
        <f>IF(COUNTIF($G$2:G701,G126)&gt;1,"Returning","New")</f>
        <v>New</v>
      </c>
      <c r="Q126" s="24" t="str">
        <f t="shared" si="1"/>
        <v>February</v>
      </c>
      <c r="R126" t="str">
        <v>New Arrival</v>
      </c>
    </row>
    <row r="127" spans="1:18" x14ac:dyDescent="0.25">
      <c r="A127" s="15" t="s">
        <v>88</v>
      </c>
      <c r="B127" s="16" t="str">
        <f>'Electronic Shop Sales Dataset'!$A127&amp;"-"&amp;'Electronic Shop Sales Dataset'!$C127</f>
        <v>P00018-Mouse</v>
      </c>
      <c r="C127" s="16" t="s">
        <v>95</v>
      </c>
      <c r="D127" s="17">
        <v>27.46</v>
      </c>
      <c r="E127" s="16">
        <v>4</v>
      </c>
      <c r="F127" s="16" t="s">
        <v>43</v>
      </c>
      <c r="G127" s="16" t="s">
        <v>381</v>
      </c>
      <c r="H127" s="16" t="s">
        <v>132</v>
      </c>
      <c r="I127" s="16">
        <v>27.766279000000001</v>
      </c>
      <c r="J127" s="16">
        <v>-81.686783000000005</v>
      </c>
      <c r="K127" s="16" t="s">
        <v>48</v>
      </c>
      <c r="L127" s="18">
        <v>45346</v>
      </c>
      <c r="M127" s="13">
        <f>DATEVALUE(TEXT(L127,"mm/dd/yy"))</f>
        <v>45346</v>
      </c>
      <c r="N127" s="17">
        <f>'Electronic Shop Sales Dataset'!$D127*'Electronic Shop Sales Dataset'!$E127</f>
        <v>109.84</v>
      </c>
      <c r="O127" s="12" cm="1">
        <f t="array" ref="O127">_xlfn.IFS($K127="Website",$N127*0.05, $K127="Mobile App",$N127*0.05,TRUE,0)</f>
        <v>5.4920000000000009</v>
      </c>
      <c r="P127" s="14" t="str">
        <f>IF(COUNTIF($G$2:G702,G127)&gt;1,"Returning","New")</f>
        <v>New</v>
      </c>
      <c r="Q127" s="24" t="str">
        <f t="shared" si="1"/>
        <v>February</v>
      </c>
      <c r="R127" t="str">
        <v>New Arrival</v>
      </c>
    </row>
    <row r="128" spans="1:18" x14ac:dyDescent="0.25">
      <c r="A128" s="10" t="s">
        <v>31</v>
      </c>
      <c r="B128" s="11" t="str">
        <f>'Electronic Shop Sales Dataset'!$A128&amp;"-"&amp;'Electronic Shop Sales Dataset'!$C128</f>
        <v>P00022-Power Bank</v>
      </c>
      <c r="C128" s="11" t="s">
        <v>124</v>
      </c>
      <c r="D128" s="12">
        <v>58.63</v>
      </c>
      <c r="E128" s="11">
        <v>3</v>
      </c>
      <c r="F128" s="11" t="s">
        <v>43</v>
      </c>
      <c r="G128" s="11" t="s">
        <v>382</v>
      </c>
      <c r="H128" s="11" t="s">
        <v>77</v>
      </c>
      <c r="I128" s="11">
        <v>44.693947000000001</v>
      </c>
      <c r="J128" s="11">
        <v>-69.381927000000005</v>
      </c>
      <c r="K128" s="11" t="s">
        <v>15</v>
      </c>
      <c r="L128" s="13">
        <v>45347</v>
      </c>
      <c r="M128" s="13">
        <f>DATEVALUE(TEXT(L128,"mm/dd/yy"))</f>
        <v>45347</v>
      </c>
      <c r="N128" s="12">
        <f>'Electronic Shop Sales Dataset'!$D128*'Electronic Shop Sales Dataset'!$E128</f>
        <v>175.89000000000001</v>
      </c>
      <c r="O128" s="12" cm="1">
        <f t="array" ref="O128">_xlfn.IFS($K128="Website",$N128*0.05, $K128="Mobile App",$N128*0.05,TRUE,0)</f>
        <v>0</v>
      </c>
      <c r="P128" s="14" t="str">
        <f>IF(COUNTIF($G$2:G703,G128)&gt;1,"Returning","New")</f>
        <v>New</v>
      </c>
      <c r="Q128" s="24" t="str">
        <f t="shared" si="1"/>
        <v>February</v>
      </c>
      <c r="R128" t="str">
        <v>New Arrival</v>
      </c>
    </row>
    <row r="129" spans="1:18" x14ac:dyDescent="0.25">
      <c r="A129" s="15" t="s">
        <v>11</v>
      </c>
      <c r="B129" s="16" t="str">
        <f>'Electronic Shop Sales Dataset'!$A129&amp;"-"&amp;'Electronic Shop Sales Dataset'!$C129</f>
        <v>P00019-Keyboard</v>
      </c>
      <c r="C129" s="16" t="s">
        <v>29</v>
      </c>
      <c r="D129" s="17">
        <v>146.61000000000001</v>
      </c>
      <c r="E129" s="16">
        <v>2</v>
      </c>
      <c r="F129" s="16" t="s">
        <v>33</v>
      </c>
      <c r="G129" s="16" t="s">
        <v>259</v>
      </c>
      <c r="H129" s="16" t="s">
        <v>105</v>
      </c>
      <c r="I129" s="16">
        <v>35.630065999999999</v>
      </c>
      <c r="J129" s="16">
        <v>-79.806419000000005</v>
      </c>
      <c r="K129" s="16" t="s">
        <v>54</v>
      </c>
      <c r="L129" s="18">
        <v>45347</v>
      </c>
      <c r="M129" s="13">
        <f>DATEVALUE(TEXT(L129,"mm/dd/yy"))</f>
        <v>45347</v>
      </c>
      <c r="N129" s="17">
        <f>'Electronic Shop Sales Dataset'!$D129*'Electronic Shop Sales Dataset'!$E129</f>
        <v>293.22000000000003</v>
      </c>
      <c r="O129" s="12" cm="1">
        <f t="array" ref="O129">_xlfn.IFS($K129="Website",$N129*0.05, $K129="Mobile App",$N129*0.05,TRUE,0)</f>
        <v>14.661000000000001</v>
      </c>
      <c r="P129" s="14" t="str">
        <f>IF(COUNTIF($G$2:G704,G129)&gt;1,"Returning","New")</f>
        <v>New</v>
      </c>
      <c r="Q129" s="24" t="str">
        <f t="shared" si="1"/>
        <v>February</v>
      </c>
      <c r="R129" t="str">
        <v>New Arrival</v>
      </c>
    </row>
    <row r="130" spans="1:18" x14ac:dyDescent="0.25">
      <c r="A130" s="10" t="s">
        <v>31</v>
      </c>
      <c r="B130" s="11" t="str">
        <f>'Electronic Shop Sales Dataset'!$A130&amp;"-"&amp;'Electronic Shop Sales Dataset'!$C130</f>
        <v>P00022-Gaming Console</v>
      </c>
      <c r="C130" s="11" t="s">
        <v>17</v>
      </c>
      <c r="D130" s="12">
        <v>724.12</v>
      </c>
      <c r="E130" s="11">
        <v>1</v>
      </c>
      <c r="F130" s="11" t="s">
        <v>43</v>
      </c>
      <c r="G130" s="11" t="s">
        <v>383</v>
      </c>
      <c r="H130" s="11" t="s">
        <v>37</v>
      </c>
      <c r="I130" s="11">
        <v>37.769337</v>
      </c>
      <c r="J130" s="11">
        <v>-78.169967999999997</v>
      </c>
      <c r="K130" s="11" t="s">
        <v>54</v>
      </c>
      <c r="L130" s="13">
        <v>45347</v>
      </c>
      <c r="M130" s="13">
        <f>DATEVALUE(TEXT(L130,"mm/dd/yy"))</f>
        <v>45347</v>
      </c>
      <c r="N130" s="12">
        <f>'Electronic Shop Sales Dataset'!$D130*'Electronic Shop Sales Dataset'!$E130</f>
        <v>724.12</v>
      </c>
      <c r="O130" s="12" cm="1">
        <f t="array" ref="O130">_xlfn.IFS($K130="Website",$N130*0.05, $K130="Mobile App",$N130*0.05,TRUE,0)</f>
        <v>36.206000000000003</v>
      </c>
      <c r="P130" s="14" t="str">
        <f>IF(COUNTIF($G$2:G705,G130)&gt;1,"Returning","New")</f>
        <v>New</v>
      </c>
      <c r="Q130" s="24" t="str">
        <f t="shared" si="1"/>
        <v>February</v>
      </c>
      <c r="R130" t="str">
        <v>New Arrival</v>
      </c>
    </row>
    <row r="131" spans="1:18" x14ac:dyDescent="0.25">
      <c r="A131" s="15" t="s">
        <v>19</v>
      </c>
      <c r="B131" s="16" t="str">
        <f>'Electronic Shop Sales Dataset'!$A131&amp;"-"&amp;'Electronic Shop Sales Dataset'!$C131</f>
        <v>P00003-Tablet</v>
      </c>
      <c r="C131" s="16" t="s">
        <v>83</v>
      </c>
      <c r="D131" s="17">
        <v>339.58</v>
      </c>
      <c r="E131" s="16">
        <v>2</v>
      </c>
      <c r="F131" s="16" t="s">
        <v>21</v>
      </c>
      <c r="G131" s="16" t="s">
        <v>384</v>
      </c>
      <c r="H131" s="16" t="s">
        <v>80</v>
      </c>
      <c r="I131" s="16">
        <v>39.318522999999999</v>
      </c>
      <c r="J131" s="16">
        <v>-75.507141000000004</v>
      </c>
      <c r="K131" s="16" t="s">
        <v>15</v>
      </c>
      <c r="L131" s="18">
        <v>45347</v>
      </c>
      <c r="M131" s="13">
        <f>DATEVALUE(TEXT(L131,"mm/dd/yy"))</f>
        <v>45347</v>
      </c>
      <c r="N131" s="17">
        <f>'Electronic Shop Sales Dataset'!$D131*'Electronic Shop Sales Dataset'!$E131</f>
        <v>679.16</v>
      </c>
      <c r="O131" s="12" cm="1">
        <f t="array" ref="O131">_xlfn.IFS($K131="Website",$N131*0.05, $K131="Mobile App",$N131*0.05,TRUE,0)</f>
        <v>0</v>
      </c>
      <c r="P131" s="14" t="str">
        <f>IF(COUNTIF($G$2:G706,G131)&gt;1,"Returning","New")</f>
        <v>New</v>
      </c>
      <c r="Q131" s="24" t="str">
        <f t="shared" ref="Q131:Q194" si="2">TEXT(M131,"mmmm")</f>
        <v>February</v>
      </c>
      <c r="R131" t="str">
        <v>New Arrival</v>
      </c>
    </row>
    <row r="132" spans="1:18" x14ac:dyDescent="0.25">
      <c r="A132" s="10" t="s">
        <v>102</v>
      </c>
      <c r="B132" s="11" t="str">
        <f>'Electronic Shop Sales Dataset'!$A132&amp;"-"&amp;'Electronic Shop Sales Dataset'!$C132</f>
        <v>P00001-Smartphone</v>
      </c>
      <c r="C132" s="11" t="s">
        <v>12</v>
      </c>
      <c r="D132" s="12">
        <v>339.4</v>
      </c>
      <c r="E132" s="11">
        <v>2</v>
      </c>
      <c r="F132" s="11" t="s">
        <v>21</v>
      </c>
      <c r="G132" s="11" t="s">
        <v>385</v>
      </c>
      <c r="H132" s="11" t="s">
        <v>146</v>
      </c>
      <c r="I132" s="11">
        <v>40.590752000000002</v>
      </c>
      <c r="J132" s="11">
        <v>-77.209755000000001</v>
      </c>
      <c r="K132" s="11" t="s">
        <v>54</v>
      </c>
      <c r="L132" s="13">
        <v>45348</v>
      </c>
      <c r="M132" s="13">
        <f>DATEVALUE(TEXT(L132,"mm/dd/yy"))</f>
        <v>45348</v>
      </c>
      <c r="N132" s="12">
        <f>'Electronic Shop Sales Dataset'!$D132*'Electronic Shop Sales Dataset'!$E132</f>
        <v>678.8</v>
      </c>
      <c r="O132" s="12" cm="1">
        <f t="array" ref="O132">_xlfn.IFS($K132="Website",$N132*0.05, $K132="Mobile App",$N132*0.05,TRUE,0)</f>
        <v>33.94</v>
      </c>
      <c r="P132" s="14" t="str">
        <f>IF(COUNTIF($G$2:G707,G132)&gt;1,"Returning","New")</f>
        <v>New</v>
      </c>
      <c r="Q132" s="24" t="str">
        <f t="shared" si="2"/>
        <v>February</v>
      </c>
      <c r="R132" t="str">
        <v>New Arrival</v>
      </c>
    </row>
    <row r="133" spans="1:18" x14ac:dyDescent="0.25">
      <c r="A133" s="15" t="s">
        <v>90</v>
      </c>
      <c r="B133" s="16" t="str">
        <f>'Electronic Shop Sales Dataset'!$A133&amp;"-"&amp;'Electronic Shop Sales Dataset'!$C133</f>
        <v>P00014-Drone</v>
      </c>
      <c r="C133" s="16" t="s">
        <v>20</v>
      </c>
      <c r="D133" s="17">
        <v>2164.5100000000002</v>
      </c>
      <c r="E133" s="16">
        <v>5</v>
      </c>
      <c r="F133" s="16" t="s">
        <v>43</v>
      </c>
      <c r="G133" s="16" t="s">
        <v>386</v>
      </c>
      <c r="H133" s="16" t="s">
        <v>116</v>
      </c>
      <c r="I133" s="16">
        <v>43.452491999999999</v>
      </c>
      <c r="J133" s="16">
        <v>-71.563896</v>
      </c>
      <c r="K133" s="16" t="s">
        <v>48</v>
      </c>
      <c r="L133" s="18">
        <v>45348</v>
      </c>
      <c r="M133" s="13">
        <f>DATEVALUE(TEXT(L133,"mm/dd/yy"))</f>
        <v>45348</v>
      </c>
      <c r="N133" s="17">
        <f>'Electronic Shop Sales Dataset'!$D133*'Electronic Shop Sales Dataset'!$E133</f>
        <v>10822.550000000001</v>
      </c>
      <c r="O133" s="12" cm="1">
        <f t="array" ref="O133">_xlfn.IFS($K133="Website",$N133*0.05, $K133="Mobile App",$N133*0.05,TRUE,0)</f>
        <v>541.12750000000005</v>
      </c>
      <c r="P133" s="14" t="str">
        <f>IF(COUNTIF($G$2:G708,G133)&gt;1,"Returning","New")</f>
        <v>New</v>
      </c>
      <c r="Q133" s="24" t="str">
        <f t="shared" si="2"/>
        <v>February</v>
      </c>
      <c r="R133" t="str">
        <v>New Arrival</v>
      </c>
    </row>
    <row r="134" spans="1:18" x14ac:dyDescent="0.25">
      <c r="A134" s="10" t="s">
        <v>117</v>
      </c>
      <c r="B134" s="11" t="str">
        <f>'Electronic Shop Sales Dataset'!$A134&amp;"-"&amp;'Electronic Shop Sales Dataset'!$C134</f>
        <v>P00016-VR Headset</v>
      </c>
      <c r="C134" s="11" t="s">
        <v>72</v>
      </c>
      <c r="D134" s="12">
        <v>309.11</v>
      </c>
      <c r="E134" s="11">
        <v>4</v>
      </c>
      <c r="F134" s="11" t="s">
        <v>13</v>
      </c>
      <c r="G134" s="11" t="s">
        <v>387</v>
      </c>
      <c r="H134" s="11" t="s">
        <v>112</v>
      </c>
      <c r="I134" s="11">
        <v>39.063946000000001</v>
      </c>
      <c r="J134" s="11">
        <v>-76.802100999999993</v>
      </c>
      <c r="K134" s="11" t="s">
        <v>54</v>
      </c>
      <c r="L134" s="13">
        <v>45348</v>
      </c>
      <c r="M134" s="13">
        <f>DATEVALUE(TEXT(L134,"mm/dd/yy"))</f>
        <v>45348</v>
      </c>
      <c r="N134" s="12">
        <f>'Electronic Shop Sales Dataset'!$D134*'Electronic Shop Sales Dataset'!$E134</f>
        <v>1236.44</v>
      </c>
      <c r="O134" s="12" cm="1">
        <f t="array" ref="O134">_xlfn.IFS($K134="Website",$N134*0.05, $K134="Mobile App",$N134*0.05,TRUE,0)</f>
        <v>61.822000000000003</v>
      </c>
      <c r="P134" s="14" t="str">
        <f>IF(COUNTIF($G$2:G709,G134)&gt;1,"Returning","New")</f>
        <v>New</v>
      </c>
      <c r="Q134" s="24" t="str">
        <f t="shared" si="2"/>
        <v>February</v>
      </c>
      <c r="R134" t="str">
        <v>New Arrival</v>
      </c>
    </row>
    <row r="135" spans="1:18" x14ac:dyDescent="0.25">
      <c r="A135" s="15" t="s">
        <v>51</v>
      </c>
      <c r="B135" s="16" t="str">
        <f>'Electronic Shop Sales Dataset'!$A135&amp;"-"&amp;'Electronic Shop Sales Dataset'!$C135</f>
        <v>P00017-Smartphone</v>
      </c>
      <c r="C135" s="16" t="s">
        <v>12</v>
      </c>
      <c r="D135" s="17">
        <v>821.42</v>
      </c>
      <c r="E135" s="16">
        <v>5</v>
      </c>
      <c r="F135" s="16" t="s">
        <v>21</v>
      </c>
      <c r="G135" s="16" t="s">
        <v>388</v>
      </c>
      <c r="H135" s="16" t="s">
        <v>76</v>
      </c>
      <c r="I135" s="16">
        <v>33.856892000000002</v>
      </c>
      <c r="J135" s="16">
        <v>-80.945007000000004</v>
      </c>
      <c r="K135" s="16" t="s">
        <v>48</v>
      </c>
      <c r="L135" s="18">
        <v>45348</v>
      </c>
      <c r="M135" s="13">
        <f>DATEVALUE(TEXT(L135,"mm/dd/yy"))</f>
        <v>45348</v>
      </c>
      <c r="N135" s="17">
        <f>'Electronic Shop Sales Dataset'!$D135*'Electronic Shop Sales Dataset'!$E135</f>
        <v>4107.0999999999995</v>
      </c>
      <c r="O135" s="12" cm="1">
        <f t="array" ref="O135">_xlfn.IFS($K135="Website",$N135*0.05, $K135="Mobile App",$N135*0.05,TRUE,0)</f>
        <v>205.35499999999999</v>
      </c>
      <c r="P135" s="14" t="str">
        <f>IF(COUNTIF($G$2:G710,G135)&gt;1,"Returning","New")</f>
        <v>New</v>
      </c>
      <c r="Q135" s="24" t="str">
        <f t="shared" si="2"/>
        <v>February</v>
      </c>
      <c r="R135" t="str">
        <v>New Arrival</v>
      </c>
    </row>
    <row r="136" spans="1:18" x14ac:dyDescent="0.25">
      <c r="A136" s="10" t="s">
        <v>28</v>
      </c>
      <c r="B136" s="11" t="str">
        <f>'Electronic Shop Sales Dataset'!$A136&amp;"-"&amp;'Electronic Shop Sales Dataset'!$C136</f>
        <v>P00006-Speaker</v>
      </c>
      <c r="C136" s="11" t="s">
        <v>106</v>
      </c>
      <c r="D136" s="12">
        <v>358.33</v>
      </c>
      <c r="E136" s="11">
        <v>4</v>
      </c>
      <c r="F136" s="11" t="s">
        <v>33</v>
      </c>
      <c r="G136" s="11" t="s">
        <v>389</v>
      </c>
      <c r="H136" s="11" t="s">
        <v>77</v>
      </c>
      <c r="I136" s="11">
        <v>44.693947000000001</v>
      </c>
      <c r="J136" s="11">
        <v>-69.381927000000005</v>
      </c>
      <c r="K136" s="11" t="s">
        <v>27</v>
      </c>
      <c r="L136" s="13">
        <v>45348</v>
      </c>
      <c r="M136" s="13">
        <f>DATEVALUE(TEXT(L136,"mm/dd/yy"))</f>
        <v>45348</v>
      </c>
      <c r="N136" s="12">
        <f>'Electronic Shop Sales Dataset'!$D136*'Electronic Shop Sales Dataset'!$E136</f>
        <v>1433.32</v>
      </c>
      <c r="O136" s="12" cm="1">
        <f t="array" ref="O136">_xlfn.IFS($K136="Website",$N136*0.05, $K136="Mobile App",$N136*0.05,TRUE,0)</f>
        <v>0</v>
      </c>
      <c r="P136" s="14" t="str">
        <f>IF(COUNTIF($G$2:G711,G136)&gt;1,"Returning","New")</f>
        <v>New</v>
      </c>
      <c r="Q136" s="24" t="str">
        <f t="shared" si="2"/>
        <v>February</v>
      </c>
      <c r="R136" t="str">
        <v>New Arrival</v>
      </c>
    </row>
    <row r="137" spans="1:18" x14ac:dyDescent="0.25">
      <c r="A137" s="15" t="s">
        <v>64</v>
      </c>
      <c r="B137" s="16" t="str">
        <f>'Electronic Shop Sales Dataset'!$A137&amp;"-"&amp;'Electronic Shop Sales Dataset'!$C137</f>
        <v>P00011-Power Bank</v>
      </c>
      <c r="C137" s="16" t="s">
        <v>124</v>
      </c>
      <c r="D137" s="17">
        <v>38.049999999999997</v>
      </c>
      <c r="E137" s="16">
        <v>3</v>
      </c>
      <c r="F137" s="16" t="s">
        <v>43</v>
      </c>
      <c r="G137" s="16" t="s">
        <v>390</v>
      </c>
      <c r="H137" s="16" t="s">
        <v>47</v>
      </c>
      <c r="I137" s="16">
        <v>44.045876</v>
      </c>
      <c r="J137" s="16">
        <v>-72.710685999999995</v>
      </c>
      <c r="K137" s="16" t="s">
        <v>23</v>
      </c>
      <c r="L137" s="18">
        <v>45348</v>
      </c>
      <c r="M137" s="13">
        <f>DATEVALUE(TEXT(L137,"mm/dd/yy"))</f>
        <v>45348</v>
      </c>
      <c r="N137" s="17">
        <f>'Electronic Shop Sales Dataset'!$D137*'Electronic Shop Sales Dataset'!$E137</f>
        <v>114.14999999999999</v>
      </c>
      <c r="O137" s="12" cm="1">
        <f t="array" ref="O137">_xlfn.IFS($K137="Website",$N137*0.05, $K137="Mobile App",$N137*0.05,TRUE,0)</f>
        <v>0</v>
      </c>
      <c r="P137" s="14" t="str">
        <f>IF(COUNTIF($G$2:G712,G137)&gt;1,"Returning","New")</f>
        <v>New</v>
      </c>
      <c r="Q137" s="24" t="str">
        <f t="shared" si="2"/>
        <v>February</v>
      </c>
      <c r="R137" t="str">
        <v>New Arrival</v>
      </c>
    </row>
    <row r="138" spans="1:18" x14ac:dyDescent="0.25">
      <c r="A138" s="10" t="s">
        <v>31</v>
      </c>
      <c r="B138" s="11" t="str">
        <f>'Electronic Shop Sales Dataset'!$A138&amp;"-"&amp;'Electronic Shop Sales Dataset'!$C138</f>
        <v>P00022-Charger</v>
      </c>
      <c r="C138" s="11" t="s">
        <v>32</v>
      </c>
      <c r="D138" s="12">
        <v>21.66</v>
      </c>
      <c r="E138" s="11">
        <v>3</v>
      </c>
      <c r="F138" s="11" t="s">
        <v>21</v>
      </c>
      <c r="G138" s="11" t="s">
        <v>391</v>
      </c>
      <c r="H138" s="11" t="s">
        <v>63</v>
      </c>
      <c r="I138" s="11">
        <v>34.840515000000003</v>
      </c>
      <c r="J138" s="11">
        <v>-106.248482</v>
      </c>
      <c r="K138" s="11" t="s">
        <v>15</v>
      </c>
      <c r="L138" s="13">
        <v>45349</v>
      </c>
      <c r="M138" s="13">
        <f>DATEVALUE(TEXT(L138,"mm/dd/yy"))</f>
        <v>45349</v>
      </c>
      <c r="N138" s="12">
        <f>'Electronic Shop Sales Dataset'!$D138*'Electronic Shop Sales Dataset'!$E138</f>
        <v>64.98</v>
      </c>
      <c r="O138" s="12" cm="1">
        <f t="array" ref="O138">_xlfn.IFS($K138="Website",$N138*0.05, $K138="Mobile App",$N138*0.05,TRUE,0)</f>
        <v>0</v>
      </c>
      <c r="P138" s="14" t="str">
        <f>IF(COUNTIF($G$2:G713,G138)&gt;1,"Returning","New")</f>
        <v>New</v>
      </c>
      <c r="Q138" s="24" t="str">
        <f t="shared" si="2"/>
        <v>February</v>
      </c>
      <c r="R138" t="str">
        <v>New Arrival</v>
      </c>
    </row>
    <row r="139" spans="1:18" x14ac:dyDescent="0.25">
      <c r="A139" s="15" t="s">
        <v>61</v>
      </c>
      <c r="B139" s="16" t="str">
        <f>'Electronic Shop Sales Dataset'!$A139&amp;"-"&amp;'Electronic Shop Sales Dataset'!$C139</f>
        <v>P00002-Mouse</v>
      </c>
      <c r="C139" s="16" t="s">
        <v>95</v>
      </c>
      <c r="D139" s="17">
        <v>69.72</v>
      </c>
      <c r="E139" s="16">
        <v>1</v>
      </c>
      <c r="F139" s="16" t="s">
        <v>13</v>
      </c>
      <c r="G139" s="16" t="s">
        <v>392</v>
      </c>
      <c r="H139" s="16" t="s">
        <v>59</v>
      </c>
      <c r="I139" s="16">
        <v>41.680892999999998</v>
      </c>
      <c r="J139" s="16">
        <v>-71.511780000000002</v>
      </c>
      <c r="K139" s="16" t="s">
        <v>23</v>
      </c>
      <c r="L139" s="18">
        <v>45349</v>
      </c>
      <c r="M139" s="13">
        <f>DATEVALUE(TEXT(L139,"mm/dd/yy"))</f>
        <v>45349</v>
      </c>
      <c r="N139" s="17">
        <f>'Electronic Shop Sales Dataset'!$D139*'Electronic Shop Sales Dataset'!$E139</f>
        <v>69.72</v>
      </c>
      <c r="O139" s="12" cm="1">
        <f t="array" ref="O139">_xlfn.IFS($K139="Website",$N139*0.05, $K139="Mobile App",$N139*0.05,TRUE,0)</f>
        <v>0</v>
      </c>
      <c r="P139" s="14" t="str">
        <f>IF(COUNTIF($G$2:G714,G139)&gt;1,"Returning","New")</f>
        <v>New</v>
      </c>
      <c r="Q139" s="24" t="str">
        <f t="shared" si="2"/>
        <v>February</v>
      </c>
      <c r="R139" t="str">
        <v>New Arrival</v>
      </c>
    </row>
    <row r="140" spans="1:18" x14ac:dyDescent="0.25">
      <c r="A140" s="10" t="s">
        <v>31</v>
      </c>
      <c r="B140" s="11" t="str">
        <f>'Electronic Shop Sales Dataset'!$A140&amp;"-"&amp;'Electronic Shop Sales Dataset'!$C140</f>
        <v>P00022-Drone</v>
      </c>
      <c r="C140" s="11" t="s">
        <v>20</v>
      </c>
      <c r="D140" s="12">
        <v>2564.92</v>
      </c>
      <c r="E140" s="11">
        <v>4</v>
      </c>
      <c r="F140" s="11" t="s">
        <v>13</v>
      </c>
      <c r="G140" s="11" t="s">
        <v>393</v>
      </c>
      <c r="H140" s="11" t="s">
        <v>143</v>
      </c>
      <c r="I140" s="11">
        <v>35.565342000000001</v>
      </c>
      <c r="J140" s="11">
        <v>-96.928916999999998</v>
      </c>
      <c r="K140" s="11" t="s">
        <v>48</v>
      </c>
      <c r="L140" s="13">
        <v>45349</v>
      </c>
      <c r="M140" s="13">
        <f>DATEVALUE(TEXT(L140,"mm/dd/yy"))</f>
        <v>45349</v>
      </c>
      <c r="N140" s="12">
        <f>'Electronic Shop Sales Dataset'!$D140*'Electronic Shop Sales Dataset'!$E140</f>
        <v>10259.68</v>
      </c>
      <c r="O140" s="12" cm="1">
        <f t="array" ref="O140">_xlfn.IFS($K140="Website",$N140*0.05, $K140="Mobile App",$N140*0.05,TRUE,0)</f>
        <v>512.98400000000004</v>
      </c>
      <c r="P140" s="14" t="str">
        <f>IF(COUNTIF($G$2:G715,G140)&gt;1,"Returning","New")</f>
        <v>New</v>
      </c>
      <c r="Q140" s="24" t="str">
        <f t="shared" si="2"/>
        <v>February</v>
      </c>
      <c r="R140" t="str">
        <v>New Arrival</v>
      </c>
    </row>
    <row r="141" spans="1:18" x14ac:dyDescent="0.25">
      <c r="A141" s="15" t="s">
        <v>86</v>
      </c>
      <c r="B141" s="16" t="str">
        <f>'Electronic Shop Sales Dataset'!$A141&amp;"-"&amp;'Electronic Shop Sales Dataset'!$C141</f>
        <v>P00021-Camera</v>
      </c>
      <c r="C141" s="16" t="s">
        <v>46</v>
      </c>
      <c r="D141" s="17">
        <v>2150.67</v>
      </c>
      <c r="E141" s="16">
        <v>4</v>
      </c>
      <c r="F141" s="16" t="s">
        <v>33</v>
      </c>
      <c r="G141" s="16" t="s">
        <v>187</v>
      </c>
      <c r="H141" s="16" t="s">
        <v>105</v>
      </c>
      <c r="I141" s="16">
        <v>35.630065999999999</v>
      </c>
      <c r="J141" s="16">
        <v>-79.806419000000005</v>
      </c>
      <c r="K141" s="16" t="s">
        <v>23</v>
      </c>
      <c r="L141" s="18">
        <v>45349</v>
      </c>
      <c r="M141" s="13">
        <f>DATEVALUE(TEXT(L141,"mm/dd/yy"))</f>
        <v>45349</v>
      </c>
      <c r="N141" s="17">
        <f>'Electronic Shop Sales Dataset'!$D141*'Electronic Shop Sales Dataset'!$E141</f>
        <v>8602.68</v>
      </c>
      <c r="O141" s="12" cm="1">
        <f t="array" ref="O141">_xlfn.IFS($K141="Website",$N141*0.05, $K141="Mobile App",$N141*0.05,TRUE,0)</f>
        <v>0</v>
      </c>
      <c r="P141" s="14" t="str">
        <f>IF(COUNTIF($G$2:G716,G141)&gt;1,"Returning","New")</f>
        <v>New</v>
      </c>
      <c r="Q141" s="24" t="str">
        <f t="shared" si="2"/>
        <v>February</v>
      </c>
      <c r="R141" t="str">
        <v>New Arrival</v>
      </c>
    </row>
    <row r="142" spans="1:18" x14ac:dyDescent="0.25">
      <c r="A142" s="10" t="s">
        <v>102</v>
      </c>
      <c r="B142" s="11" t="str">
        <f>'Electronic Shop Sales Dataset'!$A142&amp;"-"&amp;'Electronic Shop Sales Dataset'!$C142</f>
        <v>P00001-Keyboard</v>
      </c>
      <c r="C142" s="11" t="s">
        <v>29</v>
      </c>
      <c r="D142" s="12">
        <v>140.38999999999999</v>
      </c>
      <c r="E142" s="11">
        <v>5</v>
      </c>
      <c r="F142" s="11" t="s">
        <v>43</v>
      </c>
      <c r="G142" s="11" t="s">
        <v>394</v>
      </c>
      <c r="H142" s="11" t="s">
        <v>112</v>
      </c>
      <c r="I142" s="11">
        <v>39.063946000000001</v>
      </c>
      <c r="J142" s="11">
        <v>-76.802100999999993</v>
      </c>
      <c r="K142" s="11" t="s">
        <v>23</v>
      </c>
      <c r="L142" s="13">
        <v>45349</v>
      </c>
      <c r="M142" s="13">
        <f>DATEVALUE(TEXT(L142,"mm/dd/yy"))</f>
        <v>45349</v>
      </c>
      <c r="N142" s="12">
        <f>'Electronic Shop Sales Dataset'!$D142*'Electronic Shop Sales Dataset'!$E142</f>
        <v>701.94999999999993</v>
      </c>
      <c r="O142" s="12" cm="1">
        <f t="array" ref="O142">_xlfn.IFS($K142="Website",$N142*0.05, $K142="Mobile App",$N142*0.05,TRUE,0)</f>
        <v>0</v>
      </c>
      <c r="P142" s="14" t="str">
        <f>IF(COUNTIF($G$2:G717,G142)&gt;1,"Returning","New")</f>
        <v>New</v>
      </c>
      <c r="Q142" s="24" t="str">
        <f t="shared" si="2"/>
        <v>February</v>
      </c>
      <c r="R142" t="str">
        <v>New Arrival</v>
      </c>
    </row>
    <row r="143" spans="1:18" x14ac:dyDescent="0.25">
      <c r="A143" s="15" t="s">
        <v>79</v>
      </c>
      <c r="B143" s="16" t="str">
        <f>'Electronic Shop Sales Dataset'!$A143&amp;"-"&amp;'Electronic Shop Sales Dataset'!$C143</f>
        <v>P00012-Tablet</v>
      </c>
      <c r="C143" s="16" t="s">
        <v>83</v>
      </c>
      <c r="D143" s="17">
        <v>426.73</v>
      </c>
      <c r="E143" s="16">
        <v>1</v>
      </c>
      <c r="F143" s="16" t="s">
        <v>33</v>
      </c>
      <c r="G143" s="16" t="s">
        <v>395</v>
      </c>
      <c r="H143" s="16" t="s">
        <v>14</v>
      </c>
      <c r="I143" s="16">
        <v>42.230170999999999</v>
      </c>
      <c r="J143" s="16">
        <v>-71.530106000000004</v>
      </c>
      <c r="K143" s="16" t="s">
        <v>15</v>
      </c>
      <c r="L143" s="18">
        <v>45350</v>
      </c>
      <c r="M143" s="13">
        <f>DATEVALUE(TEXT(L143,"mm/dd/yy"))</f>
        <v>45350</v>
      </c>
      <c r="N143" s="17">
        <f>'Electronic Shop Sales Dataset'!$D143*'Electronic Shop Sales Dataset'!$E143</f>
        <v>426.73</v>
      </c>
      <c r="O143" s="12" cm="1">
        <f t="array" ref="O143">_xlfn.IFS($K143="Website",$N143*0.05, $K143="Mobile App",$N143*0.05,TRUE,0)</f>
        <v>0</v>
      </c>
      <c r="P143" s="14" t="str">
        <f>IF(COUNTIF($G$2:G718,G143)&gt;1,"Returning","New")</f>
        <v>New</v>
      </c>
      <c r="Q143" s="24" t="str">
        <f t="shared" si="2"/>
        <v>February</v>
      </c>
      <c r="R143" t="str">
        <v>New Arrival</v>
      </c>
    </row>
    <row r="144" spans="1:18" x14ac:dyDescent="0.25">
      <c r="A144" s="10" t="s">
        <v>69</v>
      </c>
      <c r="B144" s="11" t="str">
        <f>'Electronic Shop Sales Dataset'!$A144&amp;"-"&amp;'Electronic Shop Sales Dataset'!$C144</f>
        <v>P00005-Router</v>
      </c>
      <c r="C144" s="11" t="s">
        <v>39</v>
      </c>
      <c r="D144" s="12">
        <v>111.78</v>
      </c>
      <c r="E144" s="11">
        <v>2</v>
      </c>
      <c r="F144" s="11" t="s">
        <v>21</v>
      </c>
      <c r="G144" s="11" t="s">
        <v>396</v>
      </c>
      <c r="H144" s="11" t="s">
        <v>40</v>
      </c>
      <c r="I144" s="11">
        <v>44.572020999999999</v>
      </c>
      <c r="J144" s="11">
        <v>-122.070938</v>
      </c>
      <c r="K144" s="11" t="s">
        <v>48</v>
      </c>
      <c r="L144" s="13">
        <v>45350</v>
      </c>
      <c r="M144" s="13">
        <f>DATEVALUE(TEXT(L144,"mm/dd/yy"))</f>
        <v>45350</v>
      </c>
      <c r="N144" s="12">
        <f>'Electronic Shop Sales Dataset'!$D144*'Electronic Shop Sales Dataset'!$E144</f>
        <v>223.56</v>
      </c>
      <c r="O144" s="12" cm="1">
        <f t="array" ref="O144">_xlfn.IFS($K144="Website",$N144*0.05, $K144="Mobile App",$N144*0.05,TRUE,0)</f>
        <v>11.178000000000001</v>
      </c>
      <c r="P144" s="14" t="str">
        <f>IF(COUNTIF($G$2:G719,G144)&gt;1,"Returning","New")</f>
        <v>New</v>
      </c>
      <c r="Q144" s="24" t="str">
        <f t="shared" si="2"/>
        <v>February</v>
      </c>
      <c r="R144" t="str">
        <v>New Arrival</v>
      </c>
    </row>
    <row r="145" spans="1:18" x14ac:dyDescent="0.25">
      <c r="A145" s="15" t="s">
        <v>24</v>
      </c>
      <c r="B145" s="16" t="str">
        <f>'Electronic Shop Sales Dataset'!$A145&amp;"-"&amp;'Electronic Shop Sales Dataset'!$C145</f>
        <v>P00013-Smart TV</v>
      </c>
      <c r="C145" s="16" t="s">
        <v>74</v>
      </c>
      <c r="D145" s="17">
        <v>1339.64</v>
      </c>
      <c r="E145" s="16">
        <v>5</v>
      </c>
      <c r="F145" s="16" t="s">
        <v>43</v>
      </c>
      <c r="G145" s="16" t="s">
        <v>397</v>
      </c>
      <c r="H145" s="16" t="s">
        <v>113</v>
      </c>
      <c r="I145" s="16">
        <v>34.969704</v>
      </c>
      <c r="J145" s="16">
        <v>-92.373123000000007</v>
      </c>
      <c r="K145" s="16" t="s">
        <v>15</v>
      </c>
      <c r="L145" s="18">
        <v>45351</v>
      </c>
      <c r="M145" s="13">
        <f>DATEVALUE(TEXT(L145,"mm/dd/yy"))</f>
        <v>45351</v>
      </c>
      <c r="N145" s="17">
        <f>'Electronic Shop Sales Dataset'!$D145*'Electronic Shop Sales Dataset'!$E145</f>
        <v>6698.2000000000007</v>
      </c>
      <c r="O145" s="12" cm="1">
        <f t="array" ref="O145">_xlfn.IFS($K145="Website",$N145*0.05, $K145="Mobile App",$N145*0.05,TRUE,0)</f>
        <v>0</v>
      </c>
      <c r="P145" s="14" t="str">
        <f>IF(COUNTIF($G$2:G720,G145)&gt;1,"Returning","New")</f>
        <v>New</v>
      </c>
      <c r="Q145" s="24" t="str">
        <f t="shared" si="2"/>
        <v>February</v>
      </c>
      <c r="R145" t="str">
        <v>New Arrival</v>
      </c>
    </row>
    <row r="146" spans="1:18" x14ac:dyDescent="0.25">
      <c r="A146" s="10" t="s">
        <v>51</v>
      </c>
      <c r="B146" s="11" t="str">
        <f>'Electronic Shop Sales Dataset'!$A146&amp;"-"&amp;'Electronic Shop Sales Dataset'!$C146</f>
        <v>P00017-Router</v>
      </c>
      <c r="C146" s="11" t="s">
        <v>39</v>
      </c>
      <c r="D146" s="12">
        <v>231.52</v>
      </c>
      <c r="E146" s="11">
        <v>2</v>
      </c>
      <c r="F146" s="11" t="s">
        <v>13</v>
      </c>
      <c r="G146" s="11" t="s">
        <v>398</v>
      </c>
      <c r="H146" s="11" t="s">
        <v>156</v>
      </c>
      <c r="I146" s="11">
        <v>41.125369999999997</v>
      </c>
      <c r="J146" s="11">
        <v>-98.268082000000007</v>
      </c>
      <c r="K146" s="11" t="s">
        <v>48</v>
      </c>
      <c r="L146" s="13">
        <v>45351</v>
      </c>
      <c r="M146" s="13">
        <f>DATEVALUE(TEXT(L146,"mm/dd/yy"))</f>
        <v>45351</v>
      </c>
      <c r="N146" s="12">
        <f>'Electronic Shop Sales Dataset'!$D146*'Electronic Shop Sales Dataset'!$E146</f>
        <v>463.04</v>
      </c>
      <c r="O146" s="12" cm="1">
        <f t="array" ref="O146">_xlfn.IFS($K146="Website",$N146*0.05, $K146="Mobile App",$N146*0.05,TRUE,0)</f>
        <v>23.152000000000001</v>
      </c>
      <c r="P146" s="14" t="str">
        <f>IF(COUNTIF($G$2:G721,G146)&gt;1,"Returning","New")</f>
        <v>New</v>
      </c>
      <c r="Q146" s="24" t="str">
        <f t="shared" si="2"/>
        <v>February</v>
      </c>
      <c r="R146" t="str">
        <v>New Arrival</v>
      </c>
    </row>
    <row r="147" spans="1:18" x14ac:dyDescent="0.25">
      <c r="A147" s="15" t="s">
        <v>35</v>
      </c>
      <c r="B147" s="16" t="str">
        <f>'Electronic Shop Sales Dataset'!$A147&amp;"-"&amp;'Electronic Shop Sales Dataset'!$C147</f>
        <v>P00008-Charger</v>
      </c>
      <c r="C147" s="16" t="s">
        <v>32</v>
      </c>
      <c r="D147" s="17">
        <v>17.12</v>
      </c>
      <c r="E147" s="16">
        <v>2</v>
      </c>
      <c r="F147" s="16" t="s">
        <v>33</v>
      </c>
      <c r="G147" s="16" t="s">
        <v>399</v>
      </c>
      <c r="H147" s="16" t="s">
        <v>26</v>
      </c>
      <c r="I147" s="16">
        <v>35.747844999999998</v>
      </c>
      <c r="J147" s="16">
        <v>-86.692345000000003</v>
      </c>
      <c r="K147" s="16" t="s">
        <v>27</v>
      </c>
      <c r="L147" s="18">
        <v>45351</v>
      </c>
      <c r="M147" s="13">
        <f>DATEVALUE(TEXT(L147,"mm/dd/yy"))</f>
        <v>45351</v>
      </c>
      <c r="N147" s="17">
        <f>'Electronic Shop Sales Dataset'!$D147*'Electronic Shop Sales Dataset'!$E147</f>
        <v>34.24</v>
      </c>
      <c r="O147" s="12" cm="1">
        <f t="array" ref="O147">_xlfn.IFS($K147="Website",$N147*0.05, $K147="Mobile App",$N147*0.05,TRUE,0)</f>
        <v>0</v>
      </c>
      <c r="P147" s="14" t="str">
        <f>IF(COUNTIF($G$2:G722,G147)&gt;1,"Returning","New")</f>
        <v>New</v>
      </c>
      <c r="Q147" s="24" t="str">
        <f t="shared" si="2"/>
        <v>February</v>
      </c>
      <c r="R147" t="str">
        <v>New Arrival</v>
      </c>
    </row>
    <row r="148" spans="1:18" x14ac:dyDescent="0.25">
      <c r="A148" s="10" t="s">
        <v>51</v>
      </c>
      <c r="B148" s="11" t="str">
        <f>'Electronic Shop Sales Dataset'!$A148&amp;"-"&amp;'Electronic Shop Sales Dataset'!$C148</f>
        <v>P00017-Projector</v>
      </c>
      <c r="C148" s="11" t="s">
        <v>65</v>
      </c>
      <c r="D148" s="12">
        <v>467.47</v>
      </c>
      <c r="E148" s="11">
        <v>3</v>
      </c>
      <c r="F148" s="11" t="s">
        <v>13</v>
      </c>
      <c r="G148" s="11" t="s">
        <v>400</v>
      </c>
      <c r="H148" s="11" t="s">
        <v>34</v>
      </c>
      <c r="I148" s="11">
        <v>32.806671000000001</v>
      </c>
      <c r="J148" s="11">
        <v>-86.791129999999995</v>
      </c>
      <c r="K148" s="11" t="s">
        <v>15</v>
      </c>
      <c r="L148" s="13">
        <v>45351</v>
      </c>
      <c r="M148" s="13">
        <f>DATEVALUE(TEXT(L148,"mm/dd/yy"))</f>
        <v>45351</v>
      </c>
      <c r="N148" s="12">
        <f>'Electronic Shop Sales Dataset'!$D148*'Electronic Shop Sales Dataset'!$E148</f>
        <v>1402.41</v>
      </c>
      <c r="O148" s="12" cm="1">
        <f t="array" ref="O148">_xlfn.IFS($K148="Website",$N148*0.05, $K148="Mobile App",$N148*0.05,TRUE,0)</f>
        <v>0</v>
      </c>
      <c r="P148" s="14" t="str">
        <f>IF(COUNTIF($G$2:G723,G148)&gt;1,"Returning","New")</f>
        <v>New</v>
      </c>
      <c r="Q148" s="24" t="str">
        <f t="shared" si="2"/>
        <v>February</v>
      </c>
      <c r="R148" t="str">
        <v>New Arrival</v>
      </c>
    </row>
    <row r="149" spans="1:18" x14ac:dyDescent="0.25">
      <c r="A149" s="15" t="s">
        <v>41</v>
      </c>
      <c r="B149" s="16" t="str">
        <f>'Electronic Shop Sales Dataset'!$A149&amp;"-"&amp;'Electronic Shop Sales Dataset'!$C149</f>
        <v>P00024-USB Drive</v>
      </c>
      <c r="C149" s="16" t="s">
        <v>36</v>
      </c>
      <c r="D149" s="17">
        <v>26.99</v>
      </c>
      <c r="E149" s="16">
        <v>2</v>
      </c>
      <c r="F149" s="16" t="s">
        <v>33</v>
      </c>
      <c r="G149" s="16" t="s">
        <v>401</v>
      </c>
      <c r="H149" s="16" t="s">
        <v>82</v>
      </c>
      <c r="I149" s="16">
        <v>44.268543000000001</v>
      </c>
      <c r="J149" s="16">
        <v>-89.616507999999996</v>
      </c>
      <c r="K149" s="16" t="s">
        <v>27</v>
      </c>
      <c r="L149" s="18">
        <v>45351</v>
      </c>
      <c r="M149" s="13">
        <f>DATEVALUE(TEXT(L149,"mm/dd/yy"))</f>
        <v>45351</v>
      </c>
      <c r="N149" s="17">
        <f>'Electronic Shop Sales Dataset'!$D149*'Electronic Shop Sales Dataset'!$E149</f>
        <v>53.98</v>
      </c>
      <c r="O149" s="12" cm="1">
        <f t="array" ref="O149">_xlfn.IFS($K149="Website",$N149*0.05, $K149="Mobile App",$N149*0.05,TRUE,0)</f>
        <v>0</v>
      </c>
      <c r="P149" s="14" t="str">
        <f>IF(COUNTIF($G$2:G724,G149)&gt;1,"Returning","New")</f>
        <v>New</v>
      </c>
      <c r="Q149" s="24" t="str">
        <f t="shared" si="2"/>
        <v>February</v>
      </c>
      <c r="R149" t="str">
        <v>New Arrival</v>
      </c>
    </row>
    <row r="150" spans="1:18" x14ac:dyDescent="0.25">
      <c r="A150" s="10" t="s">
        <v>84</v>
      </c>
      <c r="B150" s="11" t="str">
        <f>'Electronic Shop Sales Dataset'!$A150&amp;"-"&amp;'Electronic Shop Sales Dataset'!$C150</f>
        <v>P00020-USB Drive</v>
      </c>
      <c r="C150" s="11" t="s">
        <v>36</v>
      </c>
      <c r="D150" s="12">
        <v>42.3</v>
      </c>
      <c r="E150" s="11">
        <v>4</v>
      </c>
      <c r="F150" s="11" t="s">
        <v>13</v>
      </c>
      <c r="G150" s="11" t="s">
        <v>402</v>
      </c>
      <c r="H150" s="11" t="s">
        <v>75</v>
      </c>
      <c r="I150" s="11">
        <v>39.059811000000003</v>
      </c>
      <c r="J150" s="11">
        <v>-105.311104</v>
      </c>
      <c r="K150" s="11" t="s">
        <v>23</v>
      </c>
      <c r="L150" s="13">
        <v>45352</v>
      </c>
      <c r="M150" s="13">
        <f>DATEVALUE(TEXT(L150,"mm/dd/yy"))</f>
        <v>45352</v>
      </c>
      <c r="N150" s="12">
        <f>'Electronic Shop Sales Dataset'!$D150*'Electronic Shop Sales Dataset'!$E150</f>
        <v>169.2</v>
      </c>
      <c r="O150" s="12" cm="1">
        <f t="array" ref="O150">_xlfn.IFS($K150="Website",$N150*0.05, $K150="Mobile App",$N150*0.05,TRUE,0)</f>
        <v>0</v>
      </c>
      <c r="P150" s="14" t="str">
        <f>IF(COUNTIF($G$2:G725,G150)&gt;1,"Returning","New")</f>
        <v>New</v>
      </c>
      <c r="Q150" s="24" t="str">
        <f t="shared" si="2"/>
        <v>March</v>
      </c>
      <c r="R150" t="str">
        <v>New Arrival</v>
      </c>
    </row>
    <row r="151" spans="1:18" x14ac:dyDescent="0.25">
      <c r="A151" s="15" t="s">
        <v>11</v>
      </c>
      <c r="B151" s="16" t="str">
        <f>'Electronic Shop Sales Dataset'!$A151&amp;"-"&amp;'Electronic Shop Sales Dataset'!$C151</f>
        <v>P00019-Speaker</v>
      </c>
      <c r="C151" s="16" t="s">
        <v>106</v>
      </c>
      <c r="D151" s="17">
        <v>154.56</v>
      </c>
      <c r="E151" s="16">
        <v>5</v>
      </c>
      <c r="F151" s="16" t="s">
        <v>43</v>
      </c>
      <c r="G151" s="16" t="s">
        <v>403</v>
      </c>
      <c r="H151" s="16" t="s">
        <v>96</v>
      </c>
      <c r="I151" s="16">
        <v>42.011538999999999</v>
      </c>
      <c r="J151" s="16">
        <v>-93.210526000000002</v>
      </c>
      <c r="K151" s="16" t="s">
        <v>15</v>
      </c>
      <c r="L151" s="18">
        <v>45352</v>
      </c>
      <c r="M151" s="13">
        <f>DATEVALUE(TEXT(L151,"mm/dd/yy"))</f>
        <v>45352</v>
      </c>
      <c r="N151" s="17">
        <f>'Electronic Shop Sales Dataset'!$D151*'Electronic Shop Sales Dataset'!$E151</f>
        <v>772.8</v>
      </c>
      <c r="O151" s="12" cm="1">
        <f t="array" ref="O151">_xlfn.IFS($K151="Website",$N151*0.05, $K151="Mobile App",$N151*0.05,TRUE,0)</f>
        <v>0</v>
      </c>
      <c r="P151" s="14" t="str">
        <f>IF(COUNTIF($G$2:G726,G151)&gt;1,"Returning","New")</f>
        <v>New</v>
      </c>
      <c r="Q151" s="24" t="str">
        <f t="shared" si="2"/>
        <v>March</v>
      </c>
      <c r="R151" t="str">
        <v>New Arrival</v>
      </c>
    </row>
    <row r="152" spans="1:18" x14ac:dyDescent="0.25">
      <c r="A152" s="10" t="s">
        <v>61</v>
      </c>
      <c r="B152" s="11" t="str">
        <f>'Electronic Shop Sales Dataset'!$A152&amp;"-"&amp;'Electronic Shop Sales Dataset'!$C152</f>
        <v>P00002-Monitor</v>
      </c>
      <c r="C152" s="11" t="s">
        <v>25</v>
      </c>
      <c r="D152" s="12">
        <v>419.79</v>
      </c>
      <c r="E152" s="11">
        <v>2</v>
      </c>
      <c r="F152" s="11" t="s">
        <v>13</v>
      </c>
      <c r="G152" s="11" t="s">
        <v>404</v>
      </c>
      <c r="H152" s="11" t="s">
        <v>85</v>
      </c>
      <c r="I152" s="11">
        <v>31.169546</v>
      </c>
      <c r="J152" s="11">
        <v>-91.867805000000004</v>
      </c>
      <c r="K152" s="11" t="s">
        <v>48</v>
      </c>
      <c r="L152" s="13">
        <v>45353</v>
      </c>
      <c r="M152" s="13">
        <f>DATEVALUE(TEXT(L152,"mm/dd/yy"))</f>
        <v>45353</v>
      </c>
      <c r="N152" s="12">
        <f>'Electronic Shop Sales Dataset'!$D152*'Electronic Shop Sales Dataset'!$E152</f>
        <v>839.58</v>
      </c>
      <c r="O152" s="12" cm="1">
        <f t="array" ref="O152">_xlfn.IFS($K152="Website",$N152*0.05, $K152="Mobile App",$N152*0.05,TRUE,0)</f>
        <v>41.979000000000006</v>
      </c>
      <c r="P152" s="14" t="str">
        <f>IF(COUNTIF($G$2:G727,G152)&gt;1,"Returning","New")</f>
        <v>New</v>
      </c>
      <c r="Q152" s="24" t="str">
        <f t="shared" si="2"/>
        <v>March</v>
      </c>
      <c r="R152" t="str">
        <v>New Arrival</v>
      </c>
    </row>
    <row r="153" spans="1:18" x14ac:dyDescent="0.25">
      <c r="A153" s="15" t="s">
        <v>84</v>
      </c>
      <c r="B153" s="16" t="str">
        <f>'Electronic Shop Sales Dataset'!$A153&amp;"-"&amp;'Electronic Shop Sales Dataset'!$C153</f>
        <v>P00020-Power Bank</v>
      </c>
      <c r="C153" s="16" t="s">
        <v>124</v>
      </c>
      <c r="D153" s="17">
        <v>53.04</v>
      </c>
      <c r="E153" s="16">
        <v>1</v>
      </c>
      <c r="F153" s="16" t="s">
        <v>43</v>
      </c>
      <c r="G153" s="16" t="s">
        <v>405</v>
      </c>
      <c r="H153" s="16" t="s">
        <v>87</v>
      </c>
      <c r="I153" s="16">
        <v>33.729759000000001</v>
      </c>
      <c r="J153" s="16">
        <v>-111.43122099999999</v>
      </c>
      <c r="K153" s="16" t="s">
        <v>23</v>
      </c>
      <c r="L153" s="18">
        <v>45353</v>
      </c>
      <c r="M153" s="13">
        <f>DATEVALUE(TEXT(L153,"mm/dd/yy"))</f>
        <v>45353</v>
      </c>
      <c r="N153" s="17">
        <f>'Electronic Shop Sales Dataset'!$D153*'Electronic Shop Sales Dataset'!$E153</f>
        <v>53.04</v>
      </c>
      <c r="O153" s="12" cm="1">
        <f t="array" ref="O153">_xlfn.IFS($K153="Website",$N153*0.05, $K153="Mobile App",$N153*0.05,TRUE,0)</f>
        <v>0</v>
      </c>
      <c r="P153" s="14" t="str">
        <f>IF(COUNTIF($G$2:G728,G153)&gt;1,"Returning","New")</f>
        <v>New</v>
      </c>
      <c r="Q153" s="24" t="str">
        <f t="shared" si="2"/>
        <v>March</v>
      </c>
      <c r="R153" t="str">
        <v>New Arrival</v>
      </c>
    </row>
    <row r="154" spans="1:18" x14ac:dyDescent="0.25">
      <c r="A154" s="10" t="s">
        <v>28</v>
      </c>
      <c r="B154" s="11" t="str">
        <f>'Electronic Shop Sales Dataset'!$A154&amp;"-"&amp;'Electronic Shop Sales Dataset'!$C154</f>
        <v>P00006-Scanner</v>
      </c>
      <c r="C154" s="11" t="s">
        <v>71</v>
      </c>
      <c r="D154" s="12">
        <v>309.26</v>
      </c>
      <c r="E154" s="11">
        <v>5</v>
      </c>
      <c r="F154" s="11" t="s">
        <v>13</v>
      </c>
      <c r="G154" s="11" t="s">
        <v>406</v>
      </c>
      <c r="H154" s="11" t="s">
        <v>87</v>
      </c>
      <c r="I154" s="11">
        <v>33.729759000000001</v>
      </c>
      <c r="J154" s="11">
        <v>-111.43122099999999</v>
      </c>
      <c r="K154" s="11" t="s">
        <v>27</v>
      </c>
      <c r="L154" s="13">
        <v>45353</v>
      </c>
      <c r="M154" s="13">
        <f>DATEVALUE(TEXT(L154,"mm/dd/yy"))</f>
        <v>45353</v>
      </c>
      <c r="N154" s="12">
        <f>'Electronic Shop Sales Dataset'!$D154*'Electronic Shop Sales Dataset'!$E154</f>
        <v>1546.3</v>
      </c>
      <c r="O154" s="12" cm="1">
        <f t="array" ref="O154">_xlfn.IFS($K154="Website",$N154*0.05, $K154="Mobile App",$N154*0.05,TRUE,0)</f>
        <v>0</v>
      </c>
      <c r="P154" s="14" t="str">
        <f>IF(COUNTIF($G$2:G729,G154)&gt;1,"Returning","New")</f>
        <v>New</v>
      </c>
      <c r="Q154" s="24" t="str">
        <f t="shared" si="2"/>
        <v>March</v>
      </c>
      <c r="R154" t="str">
        <v>New Arrival</v>
      </c>
    </row>
    <row r="155" spans="1:18" x14ac:dyDescent="0.25">
      <c r="A155" s="15" t="s">
        <v>58</v>
      </c>
      <c r="B155" s="16" t="str">
        <f>'Electronic Shop Sales Dataset'!$A155&amp;"-"&amp;'Electronic Shop Sales Dataset'!$C155</f>
        <v>P00009-USB Drive</v>
      </c>
      <c r="C155" s="16" t="s">
        <v>36</v>
      </c>
      <c r="D155" s="17">
        <v>27.35</v>
      </c>
      <c r="E155" s="16">
        <v>4</v>
      </c>
      <c r="F155" s="16" t="s">
        <v>13</v>
      </c>
      <c r="G155" s="16" t="s">
        <v>407</v>
      </c>
      <c r="H155" s="16" t="s">
        <v>22</v>
      </c>
      <c r="I155" s="16">
        <v>32.741646000000003</v>
      </c>
      <c r="J155" s="16">
        <v>-89.678696000000002</v>
      </c>
      <c r="K155" s="16" t="s">
        <v>15</v>
      </c>
      <c r="L155" s="18">
        <v>45354</v>
      </c>
      <c r="M155" s="13">
        <f>DATEVALUE(TEXT(L155,"mm/dd/yy"))</f>
        <v>45354</v>
      </c>
      <c r="N155" s="17">
        <f>'Electronic Shop Sales Dataset'!$D155*'Electronic Shop Sales Dataset'!$E155</f>
        <v>109.4</v>
      </c>
      <c r="O155" s="12" cm="1">
        <f t="array" ref="O155">_xlfn.IFS($K155="Website",$N155*0.05, $K155="Mobile App",$N155*0.05,TRUE,0)</f>
        <v>0</v>
      </c>
      <c r="P155" s="14" t="str">
        <f>IF(COUNTIF($G$2:G730,G155)&gt;1,"Returning","New")</f>
        <v>New</v>
      </c>
      <c r="Q155" s="24" t="str">
        <f t="shared" si="2"/>
        <v>March</v>
      </c>
      <c r="R155" t="str">
        <v>New Arrival</v>
      </c>
    </row>
    <row r="156" spans="1:18" x14ac:dyDescent="0.25">
      <c r="A156" s="10" t="s">
        <v>117</v>
      </c>
      <c r="B156" s="11" t="str">
        <f>'Electronic Shop Sales Dataset'!$A156&amp;"-"&amp;'Electronic Shop Sales Dataset'!$C156</f>
        <v>P00016-Projector</v>
      </c>
      <c r="C156" s="11" t="s">
        <v>65</v>
      </c>
      <c r="D156" s="12">
        <v>753.88</v>
      </c>
      <c r="E156" s="11">
        <v>2</v>
      </c>
      <c r="F156" s="11" t="s">
        <v>21</v>
      </c>
      <c r="G156" s="11" t="s">
        <v>408</v>
      </c>
      <c r="H156" s="11" t="s">
        <v>85</v>
      </c>
      <c r="I156" s="11">
        <v>31.169546</v>
      </c>
      <c r="J156" s="11">
        <v>-91.867805000000004</v>
      </c>
      <c r="K156" s="11" t="s">
        <v>23</v>
      </c>
      <c r="L156" s="13">
        <v>45357</v>
      </c>
      <c r="M156" s="13">
        <f>DATEVALUE(TEXT(L156,"mm/dd/yy"))</f>
        <v>45357</v>
      </c>
      <c r="N156" s="12">
        <f>'Electronic Shop Sales Dataset'!$D156*'Electronic Shop Sales Dataset'!$E156</f>
        <v>1507.76</v>
      </c>
      <c r="O156" s="12" cm="1">
        <f t="array" ref="O156">_xlfn.IFS($K156="Website",$N156*0.05, $K156="Mobile App",$N156*0.05,TRUE,0)</f>
        <v>0</v>
      </c>
      <c r="P156" s="14" t="str">
        <f>IF(COUNTIF($G$2:G731,G156)&gt;1,"Returning","New")</f>
        <v>New</v>
      </c>
      <c r="Q156" s="24" t="str">
        <f t="shared" si="2"/>
        <v>March</v>
      </c>
      <c r="R156" t="str">
        <v>New Arrival</v>
      </c>
    </row>
    <row r="157" spans="1:18" x14ac:dyDescent="0.25">
      <c r="A157" s="15" t="s">
        <v>41</v>
      </c>
      <c r="B157" s="16" t="str">
        <f>'Electronic Shop Sales Dataset'!$A157&amp;"-"&amp;'Electronic Shop Sales Dataset'!$C157</f>
        <v>P00024-Printer</v>
      </c>
      <c r="C157" s="16" t="s">
        <v>52</v>
      </c>
      <c r="D157" s="17">
        <v>471.85</v>
      </c>
      <c r="E157" s="16">
        <v>4</v>
      </c>
      <c r="F157" s="16" t="s">
        <v>33</v>
      </c>
      <c r="G157" s="16" t="s">
        <v>409</v>
      </c>
      <c r="H157" s="16" t="s">
        <v>45</v>
      </c>
      <c r="I157" s="16">
        <v>36.116202999999999</v>
      </c>
      <c r="J157" s="16">
        <v>-119.68156399999999</v>
      </c>
      <c r="K157" s="16" t="s">
        <v>23</v>
      </c>
      <c r="L157" s="18">
        <v>45357</v>
      </c>
      <c r="M157" s="13">
        <f>DATEVALUE(TEXT(L157,"mm/dd/yy"))</f>
        <v>45357</v>
      </c>
      <c r="N157" s="17">
        <f>'Electronic Shop Sales Dataset'!$D157*'Electronic Shop Sales Dataset'!$E157</f>
        <v>1887.4</v>
      </c>
      <c r="O157" s="12" cm="1">
        <f t="array" ref="O157">_xlfn.IFS($K157="Website",$N157*0.05, $K157="Mobile App",$N157*0.05,TRUE,0)</f>
        <v>0</v>
      </c>
      <c r="P157" s="14" t="str">
        <f>IF(COUNTIF($G$2:G732,G157)&gt;1,"Returning","New")</f>
        <v>New</v>
      </c>
      <c r="Q157" s="24" t="str">
        <f t="shared" si="2"/>
        <v>March</v>
      </c>
      <c r="R157" t="str">
        <v>New Arrival</v>
      </c>
    </row>
    <row r="158" spans="1:18" x14ac:dyDescent="0.25">
      <c r="A158" s="10" t="s">
        <v>88</v>
      </c>
      <c r="B158" s="11" t="str">
        <f>'Electronic Shop Sales Dataset'!$A158&amp;"-"&amp;'Electronic Shop Sales Dataset'!$C158</f>
        <v>P00018-Tablet</v>
      </c>
      <c r="C158" s="11" t="s">
        <v>83</v>
      </c>
      <c r="D158" s="12">
        <v>424</v>
      </c>
      <c r="E158" s="11">
        <v>3</v>
      </c>
      <c r="F158" s="11" t="s">
        <v>21</v>
      </c>
      <c r="G158" s="11" t="s">
        <v>410</v>
      </c>
      <c r="H158" s="11" t="s">
        <v>75</v>
      </c>
      <c r="I158" s="11">
        <v>39.059811000000003</v>
      </c>
      <c r="J158" s="11">
        <v>-105.311104</v>
      </c>
      <c r="K158" s="11" t="s">
        <v>54</v>
      </c>
      <c r="L158" s="13">
        <v>45357</v>
      </c>
      <c r="M158" s="13">
        <f>DATEVALUE(TEXT(L158,"mm/dd/yy"))</f>
        <v>45357</v>
      </c>
      <c r="N158" s="12">
        <f>'Electronic Shop Sales Dataset'!$D158*'Electronic Shop Sales Dataset'!$E158</f>
        <v>1272</v>
      </c>
      <c r="O158" s="12" cm="1">
        <f t="array" ref="O158">_xlfn.IFS($K158="Website",$N158*0.05, $K158="Mobile App",$N158*0.05,TRUE,0)</f>
        <v>63.6</v>
      </c>
      <c r="P158" s="14" t="str">
        <f>IF(COUNTIF($G$2:G733,G158)&gt;1,"Returning","New")</f>
        <v>New</v>
      </c>
      <c r="Q158" s="24" t="str">
        <f t="shared" si="2"/>
        <v>March</v>
      </c>
      <c r="R158" t="str">
        <v>New Arrival</v>
      </c>
    </row>
    <row r="159" spans="1:18" x14ac:dyDescent="0.25">
      <c r="A159" s="15" t="s">
        <v>117</v>
      </c>
      <c r="B159" s="16" t="str">
        <f>'Electronic Shop Sales Dataset'!$A159&amp;"-"&amp;'Electronic Shop Sales Dataset'!$C159</f>
        <v>P00016-Speaker</v>
      </c>
      <c r="C159" s="16" t="s">
        <v>106</v>
      </c>
      <c r="D159" s="17">
        <v>293.27999999999997</v>
      </c>
      <c r="E159" s="16">
        <v>3</v>
      </c>
      <c r="F159" s="16" t="s">
        <v>13</v>
      </c>
      <c r="G159" s="16" t="s">
        <v>411</v>
      </c>
      <c r="H159" s="16" t="s">
        <v>70</v>
      </c>
      <c r="I159" s="16">
        <v>39.849426000000001</v>
      </c>
      <c r="J159" s="16">
        <v>-86.258278000000004</v>
      </c>
      <c r="K159" s="16" t="s">
        <v>48</v>
      </c>
      <c r="L159" s="18">
        <v>45359</v>
      </c>
      <c r="M159" s="13">
        <f>DATEVALUE(TEXT(L159,"mm/dd/yy"))</f>
        <v>45359</v>
      </c>
      <c r="N159" s="17">
        <f>'Electronic Shop Sales Dataset'!$D159*'Electronic Shop Sales Dataset'!$E159</f>
        <v>879.83999999999992</v>
      </c>
      <c r="O159" s="12" cm="1">
        <f t="array" ref="O159">_xlfn.IFS($K159="Website",$N159*0.05, $K159="Mobile App",$N159*0.05,TRUE,0)</f>
        <v>43.991999999999997</v>
      </c>
      <c r="P159" s="14" t="str">
        <f>IF(COUNTIF($G$2:G734,G159)&gt;1,"Returning","New")</f>
        <v>New</v>
      </c>
      <c r="Q159" s="24" t="str">
        <f t="shared" si="2"/>
        <v>March</v>
      </c>
      <c r="R159" t="str">
        <v>New Arrival</v>
      </c>
    </row>
    <row r="160" spans="1:18" x14ac:dyDescent="0.25">
      <c r="A160" s="10" t="s">
        <v>38</v>
      </c>
      <c r="B160" s="11" t="str">
        <f>'Electronic Shop Sales Dataset'!$A160&amp;"-"&amp;'Electronic Shop Sales Dataset'!$C160</f>
        <v>P00007-Drone</v>
      </c>
      <c r="C160" s="11" t="s">
        <v>20</v>
      </c>
      <c r="D160" s="12">
        <v>2339.46</v>
      </c>
      <c r="E160" s="11">
        <v>4</v>
      </c>
      <c r="F160" s="11" t="s">
        <v>43</v>
      </c>
      <c r="G160" s="11" t="s">
        <v>260</v>
      </c>
      <c r="H160" s="11" t="s">
        <v>59</v>
      </c>
      <c r="I160" s="11">
        <v>41.680892999999998</v>
      </c>
      <c r="J160" s="11">
        <v>-71.511780000000002</v>
      </c>
      <c r="K160" s="11" t="s">
        <v>23</v>
      </c>
      <c r="L160" s="13">
        <v>45360</v>
      </c>
      <c r="M160" s="13">
        <f>DATEVALUE(TEXT(L160,"mm/dd/yy"))</f>
        <v>45360</v>
      </c>
      <c r="N160" s="12">
        <f>'Electronic Shop Sales Dataset'!$D160*'Electronic Shop Sales Dataset'!$E160</f>
        <v>9357.84</v>
      </c>
      <c r="O160" s="12" cm="1">
        <f t="array" ref="O160">_xlfn.IFS($K160="Website",$N160*0.05, $K160="Mobile App",$N160*0.05,TRUE,0)</f>
        <v>0</v>
      </c>
      <c r="P160" s="14" t="str">
        <f>IF(COUNTIF($G$2:G735,G160)&gt;1,"Returning","New")</f>
        <v>New</v>
      </c>
      <c r="Q160" s="24" t="str">
        <f t="shared" si="2"/>
        <v>March</v>
      </c>
      <c r="R160" t="str">
        <v>New Arrival</v>
      </c>
    </row>
    <row r="161" spans="1:18" x14ac:dyDescent="0.25">
      <c r="A161" s="15" t="s">
        <v>19</v>
      </c>
      <c r="B161" s="16" t="str">
        <f>'Electronic Shop Sales Dataset'!$A161&amp;"-"&amp;'Electronic Shop Sales Dataset'!$C161</f>
        <v>P00003-Speaker</v>
      </c>
      <c r="C161" s="16" t="s">
        <v>106</v>
      </c>
      <c r="D161" s="17">
        <v>363.41</v>
      </c>
      <c r="E161" s="16">
        <v>3</v>
      </c>
      <c r="F161" s="16" t="s">
        <v>21</v>
      </c>
      <c r="G161" s="16" t="s">
        <v>263</v>
      </c>
      <c r="H161" s="16" t="s">
        <v>82</v>
      </c>
      <c r="I161" s="16">
        <v>44.268543000000001</v>
      </c>
      <c r="J161" s="16">
        <v>-89.616507999999996</v>
      </c>
      <c r="K161" s="16" t="s">
        <v>54</v>
      </c>
      <c r="L161" s="18">
        <v>45360</v>
      </c>
      <c r="M161" s="13">
        <f>DATEVALUE(TEXT(L161,"mm/dd/yy"))</f>
        <v>45360</v>
      </c>
      <c r="N161" s="17">
        <f>'Electronic Shop Sales Dataset'!$D161*'Electronic Shop Sales Dataset'!$E161</f>
        <v>1090.23</v>
      </c>
      <c r="O161" s="12" cm="1">
        <f t="array" ref="O161">_xlfn.IFS($K161="Website",$N161*0.05, $K161="Mobile App",$N161*0.05,TRUE,0)</f>
        <v>54.511500000000005</v>
      </c>
      <c r="P161" s="14" t="str">
        <f>IF(COUNTIF($G$2:G736,G161)&gt;1,"Returning","New")</f>
        <v>New</v>
      </c>
      <c r="Q161" s="24" t="str">
        <f t="shared" si="2"/>
        <v>March</v>
      </c>
      <c r="R161" t="str">
        <v>New Arrival</v>
      </c>
    </row>
    <row r="162" spans="1:18" x14ac:dyDescent="0.25">
      <c r="A162" s="10" t="s">
        <v>41</v>
      </c>
      <c r="B162" s="11" t="str">
        <f>'Electronic Shop Sales Dataset'!$A162&amp;"-"&amp;'Electronic Shop Sales Dataset'!$C162</f>
        <v>P00024-Monitor</v>
      </c>
      <c r="C162" s="11" t="s">
        <v>25</v>
      </c>
      <c r="D162" s="12">
        <v>680.74</v>
      </c>
      <c r="E162" s="11">
        <v>5</v>
      </c>
      <c r="F162" s="11" t="s">
        <v>43</v>
      </c>
      <c r="G162" s="11" t="s">
        <v>412</v>
      </c>
      <c r="H162" s="11" t="s">
        <v>105</v>
      </c>
      <c r="I162" s="11">
        <v>35.630065999999999</v>
      </c>
      <c r="J162" s="11">
        <v>-79.806419000000005</v>
      </c>
      <c r="K162" s="11" t="s">
        <v>48</v>
      </c>
      <c r="L162" s="13">
        <v>45360</v>
      </c>
      <c r="M162" s="13">
        <f>DATEVALUE(TEXT(L162,"mm/dd/yy"))</f>
        <v>45360</v>
      </c>
      <c r="N162" s="12">
        <f>'Electronic Shop Sales Dataset'!$D162*'Electronic Shop Sales Dataset'!$E162</f>
        <v>3403.7</v>
      </c>
      <c r="O162" s="12" cm="1">
        <f t="array" ref="O162">_xlfn.IFS($K162="Website",$N162*0.05, $K162="Mobile App",$N162*0.05,TRUE,0)</f>
        <v>170.185</v>
      </c>
      <c r="P162" s="14" t="str">
        <f>IF(COUNTIF($G$2:G737,G162)&gt;1,"Returning","New")</f>
        <v>New</v>
      </c>
      <c r="Q162" s="24" t="str">
        <f t="shared" si="2"/>
        <v>March</v>
      </c>
      <c r="R162" t="str">
        <v>New Arrival</v>
      </c>
    </row>
    <row r="163" spans="1:18" x14ac:dyDescent="0.25">
      <c r="A163" s="15" t="s">
        <v>117</v>
      </c>
      <c r="B163" s="16" t="str">
        <f>'Electronic Shop Sales Dataset'!$A163&amp;"-"&amp;'Electronic Shop Sales Dataset'!$C163</f>
        <v>P00016-Tablet</v>
      </c>
      <c r="C163" s="16" t="s">
        <v>83</v>
      </c>
      <c r="D163" s="17">
        <v>580.1</v>
      </c>
      <c r="E163" s="16">
        <v>5</v>
      </c>
      <c r="F163" s="16" t="s">
        <v>33</v>
      </c>
      <c r="G163" s="16" t="s">
        <v>413</v>
      </c>
      <c r="H163" s="16" t="s">
        <v>45</v>
      </c>
      <c r="I163" s="16">
        <v>36.116202999999999</v>
      </c>
      <c r="J163" s="16">
        <v>-119.68156399999999</v>
      </c>
      <c r="K163" s="16" t="s">
        <v>54</v>
      </c>
      <c r="L163" s="18">
        <v>45360</v>
      </c>
      <c r="M163" s="13">
        <f>DATEVALUE(TEXT(L163,"mm/dd/yy"))</f>
        <v>45360</v>
      </c>
      <c r="N163" s="17">
        <f>'Electronic Shop Sales Dataset'!$D163*'Electronic Shop Sales Dataset'!$E163</f>
        <v>2900.5</v>
      </c>
      <c r="O163" s="12" cm="1">
        <f t="array" ref="O163">_xlfn.IFS($K163="Website",$N163*0.05, $K163="Mobile App",$N163*0.05,TRUE,0)</f>
        <v>145.02500000000001</v>
      </c>
      <c r="P163" s="14" t="str">
        <f>IF(COUNTIF($G$2:G738,G163)&gt;1,"Returning","New")</f>
        <v>New</v>
      </c>
      <c r="Q163" s="24" t="str">
        <f t="shared" si="2"/>
        <v>March</v>
      </c>
      <c r="R163" t="str">
        <v>New Arrival</v>
      </c>
    </row>
    <row r="164" spans="1:18" x14ac:dyDescent="0.25">
      <c r="A164" s="10" t="s">
        <v>58</v>
      </c>
      <c r="B164" s="11" t="str">
        <f>'Electronic Shop Sales Dataset'!$A164&amp;"-"&amp;'Electronic Shop Sales Dataset'!$C164</f>
        <v>P00009-Monitor</v>
      </c>
      <c r="C164" s="11" t="s">
        <v>25</v>
      </c>
      <c r="D164" s="12">
        <v>767.79</v>
      </c>
      <c r="E164" s="11">
        <v>4</v>
      </c>
      <c r="F164" s="11" t="s">
        <v>13</v>
      </c>
      <c r="G164" s="11" t="s">
        <v>166</v>
      </c>
      <c r="H164" s="11" t="s">
        <v>22</v>
      </c>
      <c r="I164" s="11">
        <v>32.741646000000003</v>
      </c>
      <c r="J164" s="11">
        <v>-89.678696000000002</v>
      </c>
      <c r="K164" s="11" t="s">
        <v>15</v>
      </c>
      <c r="L164" s="13">
        <v>45360</v>
      </c>
      <c r="M164" s="13">
        <f>DATEVALUE(TEXT(L164,"mm/dd/yy"))</f>
        <v>45360</v>
      </c>
      <c r="N164" s="12">
        <f>'Electronic Shop Sales Dataset'!$D164*'Electronic Shop Sales Dataset'!$E164</f>
        <v>3071.16</v>
      </c>
      <c r="O164" s="12" cm="1">
        <f t="array" ref="O164">_xlfn.IFS($K164="Website",$N164*0.05, $K164="Mobile App",$N164*0.05,TRUE,0)</f>
        <v>0</v>
      </c>
      <c r="P164" s="14" t="str">
        <f>IF(COUNTIF($G$2:G739,G164)&gt;1,"Returning","New")</f>
        <v>New</v>
      </c>
      <c r="Q164" s="24" t="str">
        <f t="shared" si="2"/>
        <v>March</v>
      </c>
      <c r="R164" t="str">
        <v>New Arrival</v>
      </c>
    </row>
    <row r="165" spans="1:18" x14ac:dyDescent="0.25">
      <c r="A165" s="15" t="s">
        <v>86</v>
      </c>
      <c r="B165" s="16" t="str">
        <f>'Electronic Shop Sales Dataset'!$A165&amp;"-"&amp;'Electronic Shop Sales Dataset'!$C165</f>
        <v>P00021-Scanner</v>
      </c>
      <c r="C165" s="16" t="s">
        <v>71</v>
      </c>
      <c r="D165" s="17">
        <v>321.3</v>
      </c>
      <c r="E165" s="16">
        <v>4</v>
      </c>
      <c r="F165" s="16" t="s">
        <v>33</v>
      </c>
      <c r="G165" s="16" t="s">
        <v>414</v>
      </c>
      <c r="H165" s="16" t="s">
        <v>105</v>
      </c>
      <c r="I165" s="16">
        <v>35.630065999999999</v>
      </c>
      <c r="J165" s="16">
        <v>-79.806419000000005</v>
      </c>
      <c r="K165" s="16" t="s">
        <v>15</v>
      </c>
      <c r="L165" s="18">
        <v>45361</v>
      </c>
      <c r="M165" s="13">
        <f>DATEVALUE(TEXT(L165,"mm/dd/yy"))</f>
        <v>45361</v>
      </c>
      <c r="N165" s="17">
        <f>'Electronic Shop Sales Dataset'!$D165*'Electronic Shop Sales Dataset'!$E165</f>
        <v>1285.2</v>
      </c>
      <c r="O165" s="12" cm="1">
        <f t="array" ref="O165">_xlfn.IFS($K165="Website",$N165*0.05, $K165="Mobile App",$N165*0.05,TRUE,0)</f>
        <v>0</v>
      </c>
      <c r="P165" s="14" t="str">
        <f>IF(COUNTIF($G$2:G740,G165)&gt;1,"Returning","New")</f>
        <v>New</v>
      </c>
      <c r="Q165" s="24" t="str">
        <f t="shared" si="2"/>
        <v>March</v>
      </c>
      <c r="R165" t="str">
        <v>New Arrival</v>
      </c>
    </row>
    <row r="166" spans="1:18" x14ac:dyDescent="0.25">
      <c r="A166" s="10" t="s">
        <v>51</v>
      </c>
      <c r="B166" s="11" t="str">
        <f>'Electronic Shop Sales Dataset'!$A166&amp;"-"&amp;'Electronic Shop Sales Dataset'!$C166</f>
        <v>P00017-Smart TV</v>
      </c>
      <c r="C166" s="11" t="s">
        <v>74</v>
      </c>
      <c r="D166" s="12">
        <v>308.08999999999997</v>
      </c>
      <c r="E166" s="11">
        <v>5</v>
      </c>
      <c r="F166" s="11" t="s">
        <v>21</v>
      </c>
      <c r="G166" s="11" t="s">
        <v>415</v>
      </c>
      <c r="H166" s="11" t="s">
        <v>132</v>
      </c>
      <c r="I166" s="11">
        <v>27.766279000000001</v>
      </c>
      <c r="J166" s="11">
        <v>-81.686783000000005</v>
      </c>
      <c r="K166" s="11" t="s">
        <v>27</v>
      </c>
      <c r="L166" s="13">
        <v>45363</v>
      </c>
      <c r="M166" s="13">
        <f>DATEVALUE(TEXT(L166,"mm/dd/yy"))</f>
        <v>45363</v>
      </c>
      <c r="N166" s="12">
        <f>'Electronic Shop Sales Dataset'!$D166*'Electronic Shop Sales Dataset'!$E166</f>
        <v>1540.4499999999998</v>
      </c>
      <c r="O166" s="12" cm="1">
        <f t="array" ref="O166">_xlfn.IFS($K166="Website",$N166*0.05, $K166="Mobile App",$N166*0.05,TRUE,0)</f>
        <v>0</v>
      </c>
      <c r="P166" s="14" t="str">
        <f>IF(COUNTIF($G$2:G741,G166)&gt;1,"Returning","New")</f>
        <v>New</v>
      </c>
      <c r="Q166" s="24" t="str">
        <f t="shared" si="2"/>
        <v>March</v>
      </c>
      <c r="R166" t="str">
        <v>New Arrival</v>
      </c>
    </row>
    <row r="167" spans="1:18" x14ac:dyDescent="0.25">
      <c r="A167" s="15" t="s">
        <v>58</v>
      </c>
      <c r="B167" s="16" t="str">
        <f>'Electronic Shop Sales Dataset'!$A167&amp;"-"&amp;'Electronic Shop Sales Dataset'!$C167</f>
        <v>P00009-Speaker</v>
      </c>
      <c r="C167" s="16" t="s">
        <v>106</v>
      </c>
      <c r="D167" s="17">
        <v>425.14</v>
      </c>
      <c r="E167" s="16">
        <v>3</v>
      </c>
      <c r="F167" s="16" t="s">
        <v>43</v>
      </c>
      <c r="G167" s="16" t="s">
        <v>377</v>
      </c>
      <c r="H167" s="16" t="s">
        <v>47</v>
      </c>
      <c r="I167" s="16">
        <v>44.045876</v>
      </c>
      <c r="J167" s="16">
        <v>-72.710685999999995</v>
      </c>
      <c r="K167" s="16" t="s">
        <v>27</v>
      </c>
      <c r="L167" s="18">
        <v>45363</v>
      </c>
      <c r="M167" s="13">
        <f>DATEVALUE(TEXT(L167,"mm/dd/yy"))</f>
        <v>45363</v>
      </c>
      <c r="N167" s="17">
        <f>'Electronic Shop Sales Dataset'!$D167*'Electronic Shop Sales Dataset'!$E167</f>
        <v>1275.42</v>
      </c>
      <c r="O167" s="12" cm="1">
        <f t="array" ref="O167">_xlfn.IFS($K167="Website",$N167*0.05, $K167="Mobile App",$N167*0.05,TRUE,0)</f>
        <v>0</v>
      </c>
      <c r="P167" s="14" t="str">
        <f>IF(COUNTIF($G$2:G742,G167)&gt;1,"Returning","New")</f>
        <v>Returning</v>
      </c>
      <c r="Q167" s="24" t="str">
        <f t="shared" si="2"/>
        <v>March</v>
      </c>
      <c r="R167" t="str">
        <v>New Arrival</v>
      </c>
    </row>
    <row r="168" spans="1:18" x14ac:dyDescent="0.25">
      <c r="A168" s="10" t="s">
        <v>64</v>
      </c>
      <c r="B168" s="11" t="str">
        <f>'Electronic Shop Sales Dataset'!$A168&amp;"-"&amp;'Electronic Shop Sales Dataset'!$C168</f>
        <v>P00011-Graphics Card</v>
      </c>
      <c r="C168" s="11" t="s">
        <v>125</v>
      </c>
      <c r="D168" s="12">
        <v>271.27999999999997</v>
      </c>
      <c r="E168" s="11">
        <v>1</v>
      </c>
      <c r="F168" s="11" t="s">
        <v>21</v>
      </c>
      <c r="G168" s="11" t="s">
        <v>416</v>
      </c>
      <c r="H168" s="11" t="s">
        <v>75</v>
      </c>
      <c r="I168" s="11">
        <v>39.059811000000003</v>
      </c>
      <c r="J168" s="11">
        <v>-105.311104</v>
      </c>
      <c r="K168" s="11" t="s">
        <v>27</v>
      </c>
      <c r="L168" s="13">
        <v>45364</v>
      </c>
      <c r="M168" s="13">
        <f>DATEVALUE(TEXT(L168,"mm/dd/yy"))</f>
        <v>45364</v>
      </c>
      <c r="N168" s="12">
        <f>'Electronic Shop Sales Dataset'!$D168*'Electronic Shop Sales Dataset'!$E168</f>
        <v>271.27999999999997</v>
      </c>
      <c r="O168" s="12" cm="1">
        <f t="array" ref="O168">_xlfn.IFS($K168="Website",$N168*0.05, $K168="Mobile App",$N168*0.05,TRUE,0)</f>
        <v>0</v>
      </c>
      <c r="P168" s="14" t="str">
        <f>IF(COUNTIF($G$2:G743,G168)&gt;1,"Returning","New")</f>
        <v>New</v>
      </c>
      <c r="Q168" s="24" t="str">
        <f t="shared" si="2"/>
        <v>March</v>
      </c>
      <c r="R168" t="str">
        <v>New Arrival</v>
      </c>
    </row>
    <row r="169" spans="1:18" x14ac:dyDescent="0.25">
      <c r="A169" s="15" t="s">
        <v>64</v>
      </c>
      <c r="B169" s="16" t="str">
        <f>'Electronic Shop Sales Dataset'!$A169&amp;"-"&amp;'Electronic Shop Sales Dataset'!$C169</f>
        <v>P00011-VR Headset</v>
      </c>
      <c r="C169" s="16" t="s">
        <v>72</v>
      </c>
      <c r="D169" s="17">
        <v>468.74</v>
      </c>
      <c r="E169" s="16">
        <v>5</v>
      </c>
      <c r="F169" s="16" t="s">
        <v>43</v>
      </c>
      <c r="G169" s="16" t="s">
        <v>417</v>
      </c>
      <c r="H169" s="16" t="s">
        <v>53</v>
      </c>
      <c r="I169" s="16">
        <v>40.298904</v>
      </c>
      <c r="J169" s="16">
        <v>-74.521011000000001</v>
      </c>
      <c r="K169" s="16" t="s">
        <v>15</v>
      </c>
      <c r="L169" s="18">
        <v>45365</v>
      </c>
      <c r="M169" s="13">
        <f>DATEVALUE(TEXT(L169,"mm/dd/yy"))</f>
        <v>45365</v>
      </c>
      <c r="N169" s="17">
        <f>'Electronic Shop Sales Dataset'!$D169*'Electronic Shop Sales Dataset'!$E169</f>
        <v>2343.6999999999998</v>
      </c>
      <c r="O169" s="12" cm="1">
        <f t="array" ref="O169">_xlfn.IFS($K169="Website",$N169*0.05, $K169="Mobile App",$N169*0.05,TRUE,0)</f>
        <v>0</v>
      </c>
      <c r="P169" s="14" t="str">
        <f>IF(COUNTIF($G$2:G744,G169)&gt;1,"Returning","New")</f>
        <v>New</v>
      </c>
      <c r="Q169" s="24" t="str">
        <f t="shared" si="2"/>
        <v>March</v>
      </c>
      <c r="R169" t="str">
        <v>New Arrival</v>
      </c>
    </row>
    <row r="170" spans="1:18" x14ac:dyDescent="0.25">
      <c r="A170" s="10" t="s">
        <v>60</v>
      </c>
      <c r="B170" s="11" t="str">
        <f>'Electronic Shop Sales Dataset'!$A170&amp;"-"&amp;'Electronic Shop Sales Dataset'!$C170</f>
        <v>P00015-Camera</v>
      </c>
      <c r="C170" s="11" t="s">
        <v>46</v>
      </c>
      <c r="D170" s="12">
        <v>629.16</v>
      </c>
      <c r="E170" s="11">
        <v>1</v>
      </c>
      <c r="F170" s="11" t="s">
        <v>43</v>
      </c>
      <c r="G170" s="11" t="s">
        <v>418</v>
      </c>
      <c r="H170" s="11" t="s">
        <v>47</v>
      </c>
      <c r="I170" s="11">
        <v>44.045876</v>
      </c>
      <c r="J170" s="11">
        <v>-72.710685999999995</v>
      </c>
      <c r="K170" s="11" t="s">
        <v>15</v>
      </c>
      <c r="L170" s="13">
        <v>45365</v>
      </c>
      <c r="M170" s="13">
        <f>DATEVALUE(TEXT(L170,"mm/dd/yy"))</f>
        <v>45365</v>
      </c>
      <c r="N170" s="12">
        <f>'Electronic Shop Sales Dataset'!$D170*'Electronic Shop Sales Dataset'!$E170</f>
        <v>629.16</v>
      </c>
      <c r="O170" s="12" cm="1">
        <f t="array" ref="O170">_xlfn.IFS($K170="Website",$N170*0.05, $K170="Mobile App",$N170*0.05,TRUE,0)</f>
        <v>0</v>
      </c>
      <c r="P170" s="14" t="str">
        <f>IF(COUNTIF($G$2:G745,G170)&gt;1,"Returning","New")</f>
        <v>New</v>
      </c>
      <c r="Q170" s="24" t="str">
        <f t="shared" si="2"/>
        <v>March</v>
      </c>
      <c r="R170" t="str">
        <v>New Arrival</v>
      </c>
    </row>
    <row r="171" spans="1:18" x14ac:dyDescent="0.25">
      <c r="A171" s="15" t="s">
        <v>41</v>
      </c>
      <c r="B171" s="16" t="str">
        <f>'Electronic Shop Sales Dataset'!$A171&amp;"-"&amp;'Electronic Shop Sales Dataset'!$C171</f>
        <v>P00024-Scanner</v>
      </c>
      <c r="C171" s="16" t="s">
        <v>71</v>
      </c>
      <c r="D171" s="17">
        <v>367.3</v>
      </c>
      <c r="E171" s="16">
        <v>3</v>
      </c>
      <c r="F171" s="16" t="s">
        <v>43</v>
      </c>
      <c r="G171" s="16" t="s">
        <v>419</v>
      </c>
      <c r="H171" s="16" t="s">
        <v>22</v>
      </c>
      <c r="I171" s="16">
        <v>32.741646000000003</v>
      </c>
      <c r="J171" s="16">
        <v>-89.678696000000002</v>
      </c>
      <c r="K171" s="16" t="s">
        <v>27</v>
      </c>
      <c r="L171" s="18">
        <v>45365</v>
      </c>
      <c r="M171" s="13">
        <f>DATEVALUE(TEXT(L171,"mm/dd/yy"))</f>
        <v>45365</v>
      </c>
      <c r="N171" s="17">
        <f>'Electronic Shop Sales Dataset'!$D171*'Electronic Shop Sales Dataset'!$E171</f>
        <v>1101.9000000000001</v>
      </c>
      <c r="O171" s="12" cm="1">
        <f t="array" ref="O171">_xlfn.IFS($K171="Website",$N171*0.05, $K171="Mobile App",$N171*0.05,TRUE,0)</f>
        <v>0</v>
      </c>
      <c r="P171" s="14" t="str">
        <f>IF(COUNTIF($G$2:G746,G171)&gt;1,"Returning","New")</f>
        <v>New</v>
      </c>
      <c r="Q171" s="24" t="str">
        <f t="shared" si="2"/>
        <v>March</v>
      </c>
      <c r="R171" t="str">
        <v>New Arrival</v>
      </c>
    </row>
    <row r="172" spans="1:18" x14ac:dyDescent="0.25">
      <c r="A172" s="10" t="s">
        <v>69</v>
      </c>
      <c r="B172" s="11" t="str">
        <f>'Electronic Shop Sales Dataset'!$A172&amp;"-"&amp;'Electronic Shop Sales Dataset'!$C172</f>
        <v>P00005-Smartphone</v>
      </c>
      <c r="C172" s="11" t="s">
        <v>12</v>
      </c>
      <c r="D172" s="12">
        <v>1015.65</v>
      </c>
      <c r="E172" s="11">
        <v>5</v>
      </c>
      <c r="F172" s="11" t="s">
        <v>13</v>
      </c>
      <c r="G172" s="11" t="s">
        <v>420</v>
      </c>
      <c r="H172" s="11" t="s">
        <v>93</v>
      </c>
      <c r="I172" s="11">
        <v>38.491225999999997</v>
      </c>
      <c r="J172" s="11">
        <v>-80.954455999999993</v>
      </c>
      <c r="K172" s="11" t="s">
        <v>54</v>
      </c>
      <c r="L172" s="13">
        <v>45366</v>
      </c>
      <c r="M172" s="13">
        <f>DATEVALUE(TEXT(L172,"mm/dd/yy"))</f>
        <v>45366</v>
      </c>
      <c r="N172" s="12">
        <f>'Electronic Shop Sales Dataset'!$D172*'Electronic Shop Sales Dataset'!$E172</f>
        <v>5078.25</v>
      </c>
      <c r="O172" s="12" cm="1">
        <f t="array" ref="O172">_xlfn.IFS($K172="Website",$N172*0.05, $K172="Mobile App",$N172*0.05,TRUE,0)</f>
        <v>253.91250000000002</v>
      </c>
      <c r="P172" s="14" t="str">
        <f>IF(COUNTIF($G$2:G747,G172)&gt;1,"Returning","New")</f>
        <v>New</v>
      </c>
      <c r="Q172" s="24" t="str">
        <f t="shared" si="2"/>
        <v>March</v>
      </c>
      <c r="R172" t="str">
        <v>New Arrival</v>
      </c>
    </row>
    <row r="173" spans="1:18" x14ac:dyDescent="0.25">
      <c r="A173" s="15" t="s">
        <v>88</v>
      </c>
      <c r="B173" s="16" t="str">
        <f>'Electronic Shop Sales Dataset'!$A173&amp;"-"&amp;'Electronic Shop Sales Dataset'!$C173</f>
        <v>P00018-Scanner</v>
      </c>
      <c r="C173" s="16" t="s">
        <v>71</v>
      </c>
      <c r="D173" s="17">
        <v>336.31</v>
      </c>
      <c r="E173" s="16">
        <v>1</v>
      </c>
      <c r="F173" s="16" t="s">
        <v>33</v>
      </c>
      <c r="G173" s="16" t="s">
        <v>421</v>
      </c>
      <c r="H173" s="16" t="s">
        <v>105</v>
      </c>
      <c r="I173" s="16">
        <v>35.630065999999999</v>
      </c>
      <c r="J173" s="16">
        <v>-79.806419000000005</v>
      </c>
      <c r="K173" s="16" t="s">
        <v>23</v>
      </c>
      <c r="L173" s="18">
        <v>45367</v>
      </c>
      <c r="M173" s="13">
        <f>DATEVALUE(TEXT(L173,"mm/dd/yy"))</f>
        <v>45367</v>
      </c>
      <c r="N173" s="17">
        <f>'Electronic Shop Sales Dataset'!$D173*'Electronic Shop Sales Dataset'!$E173</f>
        <v>336.31</v>
      </c>
      <c r="O173" s="12" cm="1">
        <f t="array" ref="O173">_xlfn.IFS($K173="Website",$N173*0.05, $K173="Mobile App",$N173*0.05,TRUE,0)</f>
        <v>0</v>
      </c>
      <c r="P173" s="14" t="str">
        <f>IF(COUNTIF($G$2:G748,G173)&gt;1,"Returning","New")</f>
        <v>New</v>
      </c>
      <c r="Q173" s="24" t="str">
        <f t="shared" si="2"/>
        <v>March</v>
      </c>
      <c r="R173" t="str">
        <v>New Arrival</v>
      </c>
    </row>
    <row r="174" spans="1:18" x14ac:dyDescent="0.25">
      <c r="A174" s="10" t="s">
        <v>69</v>
      </c>
      <c r="B174" s="11" t="str">
        <f>'Electronic Shop Sales Dataset'!$A174&amp;"-"&amp;'Electronic Shop Sales Dataset'!$C174</f>
        <v>P00005-Power Bank</v>
      </c>
      <c r="C174" s="11" t="s">
        <v>124</v>
      </c>
      <c r="D174" s="12">
        <v>96.47</v>
      </c>
      <c r="E174" s="11">
        <v>2</v>
      </c>
      <c r="F174" s="11" t="s">
        <v>13</v>
      </c>
      <c r="G174" s="11" t="s">
        <v>422</v>
      </c>
      <c r="H174" s="11" t="s">
        <v>101</v>
      </c>
      <c r="I174" s="11">
        <v>21.094318000000001</v>
      </c>
      <c r="J174" s="11">
        <v>-157.49833699999999</v>
      </c>
      <c r="K174" s="11" t="s">
        <v>54</v>
      </c>
      <c r="L174" s="13">
        <v>45369</v>
      </c>
      <c r="M174" s="13">
        <f>DATEVALUE(TEXT(L174,"mm/dd/yy"))</f>
        <v>45369</v>
      </c>
      <c r="N174" s="12">
        <f>'Electronic Shop Sales Dataset'!$D174*'Electronic Shop Sales Dataset'!$E174</f>
        <v>192.94</v>
      </c>
      <c r="O174" s="12" cm="1">
        <f t="array" ref="O174">_xlfn.IFS($K174="Website",$N174*0.05, $K174="Mobile App",$N174*0.05,TRUE,0)</f>
        <v>9.6470000000000002</v>
      </c>
      <c r="P174" s="14" t="str">
        <f>IF(COUNTIF($G$2:G749,G174)&gt;1,"Returning","New")</f>
        <v>New</v>
      </c>
      <c r="Q174" s="24" t="str">
        <f t="shared" si="2"/>
        <v>March</v>
      </c>
      <c r="R174" t="str">
        <v>New Arrival</v>
      </c>
    </row>
    <row r="175" spans="1:18" x14ac:dyDescent="0.25">
      <c r="A175" s="15" t="s">
        <v>16</v>
      </c>
      <c r="B175" s="16" t="str">
        <f>'Electronic Shop Sales Dataset'!$A175&amp;"-"&amp;'Electronic Shop Sales Dataset'!$C175</f>
        <v>P00010-Gaming Console</v>
      </c>
      <c r="C175" s="16" t="s">
        <v>17</v>
      </c>
      <c r="D175" s="17">
        <v>629.91</v>
      </c>
      <c r="E175" s="16">
        <v>3</v>
      </c>
      <c r="F175" s="16" t="s">
        <v>33</v>
      </c>
      <c r="G175" s="16" t="s">
        <v>423</v>
      </c>
      <c r="H175" s="16" t="s">
        <v>22</v>
      </c>
      <c r="I175" s="16">
        <v>32.741646000000003</v>
      </c>
      <c r="J175" s="16">
        <v>-89.678696000000002</v>
      </c>
      <c r="K175" s="16" t="s">
        <v>23</v>
      </c>
      <c r="L175" s="18">
        <v>45369</v>
      </c>
      <c r="M175" s="13">
        <f>DATEVALUE(TEXT(L175,"mm/dd/yy"))</f>
        <v>45369</v>
      </c>
      <c r="N175" s="17">
        <f>'Electronic Shop Sales Dataset'!$D175*'Electronic Shop Sales Dataset'!$E175</f>
        <v>1889.73</v>
      </c>
      <c r="O175" s="12" cm="1">
        <f t="array" ref="O175">_xlfn.IFS($K175="Website",$N175*0.05, $K175="Mobile App",$N175*0.05,TRUE,0)</f>
        <v>0</v>
      </c>
      <c r="P175" s="14" t="str">
        <f>IF(COUNTIF($G$2:G750,G175)&gt;1,"Returning","New")</f>
        <v>New</v>
      </c>
      <c r="Q175" s="24" t="str">
        <f t="shared" si="2"/>
        <v>March</v>
      </c>
      <c r="R175" t="str">
        <v>New Arrival</v>
      </c>
    </row>
    <row r="176" spans="1:18" x14ac:dyDescent="0.25">
      <c r="A176" s="10" t="s">
        <v>61</v>
      </c>
      <c r="B176" s="11" t="str">
        <f>'Electronic Shop Sales Dataset'!$A176&amp;"-"&amp;'Electronic Shop Sales Dataset'!$C176</f>
        <v>P00002-Smart TV</v>
      </c>
      <c r="C176" s="11" t="s">
        <v>74</v>
      </c>
      <c r="D176" s="12">
        <v>300.36</v>
      </c>
      <c r="E176" s="11">
        <v>2</v>
      </c>
      <c r="F176" s="11" t="s">
        <v>13</v>
      </c>
      <c r="G176" s="11" t="s">
        <v>424</v>
      </c>
      <c r="H176" s="11" t="s">
        <v>67</v>
      </c>
      <c r="I176" s="11">
        <v>46.921925000000002</v>
      </c>
      <c r="J176" s="11">
        <v>-110.454353</v>
      </c>
      <c r="K176" s="11" t="s">
        <v>27</v>
      </c>
      <c r="L176" s="13">
        <v>45369</v>
      </c>
      <c r="M176" s="13">
        <f>DATEVALUE(TEXT(L176,"mm/dd/yy"))</f>
        <v>45369</v>
      </c>
      <c r="N176" s="12">
        <f>'Electronic Shop Sales Dataset'!$D176*'Electronic Shop Sales Dataset'!$E176</f>
        <v>600.72</v>
      </c>
      <c r="O176" s="12" cm="1">
        <f t="array" ref="O176">_xlfn.IFS($K176="Website",$N176*0.05, $K176="Mobile App",$N176*0.05,TRUE,0)</f>
        <v>0</v>
      </c>
      <c r="P176" s="14" t="str">
        <f>IF(COUNTIF($G$2:G751,G176)&gt;1,"Returning","New")</f>
        <v>New</v>
      </c>
      <c r="Q176" s="24" t="str">
        <f t="shared" si="2"/>
        <v>March</v>
      </c>
      <c r="R176" t="str">
        <v>New Arrival</v>
      </c>
    </row>
    <row r="177" spans="1:18" x14ac:dyDescent="0.25">
      <c r="A177" s="15" t="s">
        <v>86</v>
      </c>
      <c r="B177" s="16" t="str">
        <f>'Electronic Shop Sales Dataset'!$A177&amp;"-"&amp;'Electronic Shop Sales Dataset'!$C177</f>
        <v>P00021-Smart TV</v>
      </c>
      <c r="C177" s="16" t="s">
        <v>74</v>
      </c>
      <c r="D177" s="17">
        <v>1215.79</v>
      </c>
      <c r="E177" s="16">
        <v>5</v>
      </c>
      <c r="F177" s="16" t="s">
        <v>33</v>
      </c>
      <c r="G177" s="16" t="s">
        <v>425</v>
      </c>
      <c r="H177" s="16" t="s">
        <v>93</v>
      </c>
      <c r="I177" s="16">
        <v>38.491225999999997</v>
      </c>
      <c r="J177" s="16">
        <v>-80.954455999999993</v>
      </c>
      <c r="K177" s="16" t="s">
        <v>23</v>
      </c>
      <c r="L177" s="18">
        <v>45369</v>
      </c>
      <c r="M177" s="13">
        <f>DATEVALUE(TEXT(L177,"mm/dd/yy"))</f>
        <v>45369</v>
      </c>
      <c r="N177" s="17">
        <f>'Electronic Shop Sales Dataset'!$D177*'Electronic Shop Sales Dataset'!$E177</f>
        <v>6078.95</v>
      </c>
      <c r="O177" s="12" cm="1">
        <f t="array" ref="O177">_xlfn.IFS($K177="Website",$N177*0.05, $K177="Mobile App",$N177*0.05,TRUE,0)</f>
        <v>0</v>
      </c>
      <c r="P177" s="14" t="str">
        <f>IF(COUNTIF($G$2:G752,G177)&gt;1,"Returning","New")</f>
        <v>New</v>
      </c>
      <c r="Q177" s="24" t="str">
        <f t="shared" si="2"/>
        <v>March</v>
      </c>
      <c r="R177" t="str">
        <v>New Arrival</v>
      </c>
    </row>
    <row r="178" spans="1:18" x14ac:dyDescent="0.25">
      <c r="A178" s="10" t="s">
        <v>28</v>
      </c>
      <c r="B178" s="11" t="str">
        <f>'Electronic Shop Sales Dataset'!$A178&amp;"-"&amp;'Electronic Shop Sales Dataset'!$C178</f>
        <v>P00006-Smart TV</v>
      </c>
      <c r="C178" s="11" t="s">
        <v>74</v>
      </c>
      <c r="D178" s="12">
        <v>1798.12</v>
      </c>
      <c r="E178" s="11">
        <v>2</v>
      </c>
      <c r="F178" s="11" t="s">
        <v>13</v>
      </c>
      <c r="G178" s="11" t="s">
        <v>228</v>
      </c>
      <c r="H178" s="11" t="s">
        <v>129</v>
      </c>
      <c r="I178" s="11">
        <v>42.165725999999999</v>
      </c>
      <c r="J178" s="11">
        <v>-74.948051000000007</v>
      </c>
      <c r="K178" s="11" t="s">
        <v>27</v>
      </c>
      <c r="L178" s="13">
        <v>45369</v>
      </c>
      <c r="M178" s="13">
        <f>DATEVALUE(TEXT(L178,"mm/dd/yy"))</f>
        <v>45369</v>
      </c>
      <c r="N178" s="12">
        <f>'Electronic Shop Sales Dataset'!$D178*'Electronic Shop Sales Dataset'!$E178</f>
        <v>3596.24</v>
      </c>
      <c r="O178" s="12" cm="1">
        <f t="array" ref="O178">_xlfn.IFS($K178="Website",$N178*0.05, $K178="Mobile App",$N178*0.05,TRUE,0)</f>
        <v>0</v>
      </c>
      <c r="P178" s="14" t="str">
        <f>IF(COUNTIF($G$2:G753,G178)&gt;1,"Returning","New")</f>
        <v>New</v>
      </c>
      <c r="Q178" s="24" t="str">
        <f t="shared" si="2"/>
        <v>March</v>
      </c>
      <c r="R178" t="str">
        <v>New Arrival</v>
      </c>
    </row>
    <row r="179" spans="1:18" x14ac:dyDescent="0.25">
      <c r="A179" s="15" t="s">
        <v>84</v>
      </c>
      <c r="B179" s="16" t="str">
        <f>'Electronic Shop Sales Dataset'!$A179&amp;"-"&amp;'Electronic Shop Sales Dataset'!$C179</f>
        <v>P00020-Monitor</v>
      </c>
      <c r="C179" s="16" t="s">
        <v>25</v>
      </c>
      <c r="D179" s="17">
        <v>351.61</v>
      </c>
      <c r="E179" s="16">
        <v>5</v>
      </c>
      <c r="F179" s="16" t="s">
        <v>21</v>
      </c>
      <c r="G179" s="16" t="s">
        <v>426</v>
      </c>
      <c r="H179" s="16" t="s">
        <v>40</v>
      </c>
      <c r="I179" s="16">
        <v>44.572020999999999</v>
      </c>
      <c r="J179" s="16">
        <v>-122.070938</v>
      </c>
      <c r="K179" s="16" t="s">
        <v>23</v>
      </c>
      <c r="L179" s="18">
        <v>45369</v>
      </c>
      <c r="M179" s="13">
        <f>DATEVALUE(TEXT(L179,"mm/dd/yy"))</f>
        <v>45369</v>
      </c>
      <c r="N179" s="17">
        <f>'Electronic Shop Sales Dataset'!$D179*'Electronic Shop Sales Dataset'!$E179</f>
        <v>1758.0500000000002</v>
      </c>
      <c r="O179" s="12" cm="1">
        <f t="array" ref="O179">_xlfn.IFS($K179="Website",$N179*0.05, $K179="Mobile App",$N179*0.05,TRUE,0)</f>
        <v>0</v>
      </c>
      <c r="P179" s="14" t="str">
        <f>IF(COUNTIF($G$2:G754,G179)&gt;1,"Returning","New")</f>
        <v>New</v>
      </c>
      <c r="Q179" s="24" t="str">
        <f t="shared" si="2"/>
        <v>March</v>
      </c>
      <c r="R179" t="str">
        <v>New Arrival</v>
      </c>
    </row>
    <row r="180" spans="1:18" x14ac:dyDescent="0.25">
      <c r="A180" s="10" t="s">
        <v>88</v>
      </c>
      <c r="B180" s="11" t="str">
        <f>'Electronic Shop Sales Dataset'!$A180&amp;"-"&amp;'Electronic Shop Sales Dataset'!$C180</f>
        <v>P00018-Laptop</v>
      </c>
      <c r="C180" s="11" t="s">
        <v>89</v>
      </c>
      <c r="D180" s="12">
        <v>960.01</v>
      </c>
      <c r="E180" s="11">
        <v>5</v>
      </c>
      <c r="F180" s="11" t="s">
        <v>21</v>
      </c>
      <c r="G180" s="11" t="s">
        <v>427</v>
      </c>
      <c r="H180" s="11" t="s">
        <v>110</v>
      </c>
      <c r="I180" s="11">
        <v>33.040619</v>
      </c>
      <c r="J180" s="11">
        <v>-83.643073999999999</v>
      </c>
      <c r="K180" s="11" t="s">
        <v>27</v>
      </c>
      <c r="L180" s="13">
        <v>45370</v>
      </c>
      <c r="M180" s="13">
        <f>DATEVALUE(TEXT(L180,"mm/dd/yy"))</f>
        <v>45370</v>
      </c>
      <c r="N180" s="12">
        <f>'Electronic Shop Sales Dataset'!$D180*'Electronic Shop Sales Dataset'!$E180</f>
        <v>4800.05</v>
      </c>
      <c r="O180" s="12" cm="1">
        <f t="array" ref="O180">_xlfn.IFS($K180="Website",$N180*0.05, $K180="Mobile App",$N180*0.05,TRUE,0)</f>
        <v>0</v>
      </c>
      <c r="P180" s="14" t="str">
        <f>IF(COUNTIF($G$2:G755,G180)&gt;1,"Returning","New")</f>
        <v>New</v>
      </c>
      <c r="Q180" s="24" t="str">
        <f t="shared" si="2"/>
        <v>March</v>
      </c>
      <c r="R180" t="str">
        <v>Old Stock</v>
      </c>
    </row>
    <row r="181" spans="1:18" x14ac:dyDescent="0.25">
      <c r="A181" s="15" t="s">
        <v>11</v>
      </c>
      <c r="B181" s="16" t="str">
        <f>'Electronic Shop Sales Dataset'!$A181&amp;"-"&amp;'Electronic Shop Sales Dataset'!$C181</f>
        <v>P00019-Scanner</v>
      </c>
      <c r="C181" s="16" t="s">
        <v>71</v>
      </c>
      <c r="D181" s="17">
        <v>397.27</v>
      </c>
      <c r="E181" s="16">
        <v>1</v>
      </c>
      <c r="F181" s="16" t="s">
        <v>13</v>
      </c>
      <c r="G181" s="16" t="s">
        <v>428</v>
      </c>
      <c r="H181" s="16" t="s">
        <v>112</v>
      </c>
      <c r="I181" s="16">
        <v>39.063946000000001</v>
      </c>
      <c r="J181" s="16">
        <v>-76.802100999999993</v>
      </c>
      <c r="K181" s="16" t="s">
        <v>27</v>
      </c>
      <c r="L181" s="18">
        <v>45370</v>
      </c>
      <c r="M181" s="13">
        <f>DATEVALUE(TEXT(L181,"mm/dd/yy"))</f>
        <v>45370</v>
      </c>
      <c r="N181" s="17">
        <f>'Electronic Shop Sales Dataset'!$D181*'Electronic Shop Sales Dataset'!$E181</f>
        <v>397.27</v>
      </c>
      <c r="O181" s="12" cm="1">
        <f t="array" ref="O181">_xlfn.IFS($K181="Website",$N181*0.05, $K181="Mobile App",$N181*0.05,TRUE,0)</f>
        <v>0</v>
      </c>
      <c r="P181" s="14" t="str">
        <f>IF(COUNTIF($G$2:G756,G181)&gt;1,"Returning","New")</f>
        <v>New</v>
      </c>
      <c r="Q181" s="24" t="str">
        <f t="shared" si="2"/>
        <v>March</v>
      </c>
      <c r="R181" t="str">
        <v>New Arrival</v>
      </c>
    </row>
    <row r="182" spans="1:18" x14ac:dyDescent="0.25">
      <c r="A182" s="10" t="s">
        <v>35</v>
      </c>
      <c r="B182" s="11" t="str">
        <f>'Electronic Shop Sales Dataset'!$A182&amp;"-"&amp;'Electronic Shop Sales Dataset'!$C182</f>
        <v>P00008-Laptop</v>
      </c>
      <c r="C182" s="11" t="s">
        <v>89</v>
      </c>
      <c r="D182" s="12">
        <v>712.97</v>
      </c>
      <c r="E182" s="11">
        <v>1</v>
      </c>
      <c r="F182" s="11" t="s">
        <v>21</v>
      </c>
      <c r="G182" s="11" t="s">
        <v>429</v>
      </c>
      <c r="H182" s="11" t="s">
        <v>80</v>
      </c>
      <c r="I182" s="11">
        <v>39.318522999999999</v>
      </c>
      <c r="J182" s="11">
        <v>-75.507141000000004</v>
      </c>
      <c r="K182" s="11" t="s">
        <v>27</v>
      </c>
      <c r="L182" s="13">
        <v>45372</v>
      </c>
      <c r="M182" s="13">
        <f>DATEVALUE(TEXT(L182,"mm/dd/yy"))</f>
        <v>45372</v>
      </c>
      <c r="N182" s="12">
        <f>'Electronic Shop Sales Dataset'!$D182*'Electronic Shop Sales Dataset'!$E182</f>
        <v>712.97</v>
      </c>
      <c r="O182" s="12" cm="1">
        <f t="array" ref="O182">_xlfn.IFS($K182="Website",$N182*0.05, $K182="Mobile App",$N182*0.05,TRUE,0)</f>
        <v>0</v>
      </c>
      <c r="P182" s="14" t="str">
        <f>IF(COUNTIF($G$2:G757,G182)&gt;1,"Returning","New")</f>
        <v>New</v>
      </c>
      <c r="Q182" s="24" t="str">
        <f t="shared" si="2"/>
        <v>March</v>
      </c>
      <c r="R182" t="str">
        <v>Old Stock</v>
      </c>
    </row>
    <row r="183" spans="1:18" x14ac:dyDescent="0.25">
      <c r="A183" s="15" t="s">
        <v>58</v>
      </c>
      <c r="B183" s="16" t="str">
        <f>'Electronic Shop Sales Dataset'!$A183&amp;"-"&amp;'Electronic Shop Sales Dataset'!$C183</f>
        <v>P00009-VR Headset</v>
      </c>
      <c r="C183" s="16" t="s">
        <v>72</v>
      </c>
      <c r="D183" s="17">
        <v>503.2</v>
      </c>
      <c r="E183" s="16">
        <v>5</v>
      </c>
      <c r="F183" s="16" t="s">
        <v>21</v>
      </c>
      <c r="G183" s="16" t="s">
        <v>430</v>
      </c>
      <c r="H183" s="16" t="s">
        <v>47</v>
      </c>
      <c r="I183" s="16">
        <v>44.045876</v>
      </c>
      <c r="J183" s="16">
        <v>-72.710685999999995</v>
      </c>
      <c r="K183" s="16" t="s">
        <v>54</v>
      </c>
      <c r="L183" s="18">
        <v>45373</v>
      </c>
      <c r="M183" s="13">
        <f>DATEVALUE(TEXT(L183,"mm/dd/yy"))</f>
        <v>45373</v>
      </c>
      <c r="N183" s="17">
        <f>'Electronic Shop Sales Dataset'!$D183*'Electronic Shop Sales Dataset'!$E183</f>
        <v>2516</v>
      </c>
      <c r="O183" s="12" cm="1">
        <f t="array" ref="O183">_xlfn.IFS($K183="Website",$N183*0.05, $K183="Mobile App",$N183*0.05,TRUE,0)</f>
        <v>125.80000000000001</v>
      </c>
      <c r="P183" s="14" t="str">
        <f>IF(COUNTIF($G$2:G758,G183)&gt;1,"Returning","New")</f>
        <v>New</v>
      </c>
      <c r="Q183" s="24" t="str">
        <f t="shared" si="2"/>
        <v>March</v>
      </c>
      <c r="R183" t="str">
        <v>New Arrival</v>
      </c>
    </row>
    <row r="184" spans="1:18" x14ac:dyDescent="0.25">
      <c r="A184" s="10" t="s">
        <v>86</v>
      </c>
      <c r="B184" s="11" t="str">
        <f>'Electronic Shop Sales Dataset'!$A184&amp;"-"&amp;'Electronic Shop Sales Dataset'!$C184</f>
        <v>P00021-Projector</v>
      </c>
      <c r="C184" s="11" t="s">
        <v>65</v>
      </c>
      <c r="D184" s="12">
        <v>237.43</v>
      </c>
      <c r="E184" s="11">
        <v>2</v>
      </c>
      <c r="F184" s="11" t="s">
        <v>13</v>
      </c>
      <c r="G184" s="11" t="s">
        <v>431</v>
      </c>
      <c r="H184" s="11" t="s">
        <v>67</v>
      </c>
      <c r="I184" s="11">
        <v>46.921925000000002</v>
      </c>
      <c r="J184" s="11">
        <v>-110.454353</v>
      </c>
      <c r="K184" s="11" t="s">
        <v>54</v>
      </c>
      <c r="L184" s="13">
        <v>45373</v>
      </c>
      <c r="M184" s="13">
        <f>DATEVALUE(TEXT(L184,"mm/dd/yy"))</f>
        <v>45373</v>
      </c>
      <c r="N184" s="12">
        <f>'Electronic Shop Sales Dataset'!$D184*'Electronic Shop Sales Dataset'!$E184</f>
        <v>474.86</v>
      </c>
      <c r="O184" s="12" cm="1">
        <f t="array" ref="O184">_xlfn.IFS($K184="Website",$N184*0.05, $K184="Mobile App",$N184*0.05,TRUE,0)</f>
        <v>23.743000000000002</v>
      </c>
      <c r="P184" s="14" t="str">
        <f>IF(COUNTIF($G$2:G759,G184)&gt;1,"Returning","New")</f>
        <v>New</v>
      </c>
      <c r="Q184" s="24" t="str">
        <f t="shared" si="2"/>
        <v>March</v>
      </c>
      <c r="R184" t="str">
        <v>New Arrival</v>
      </c>
    </row>
    <row r="185" spans="1:18" x14ac:dyDescent="0.25">
      <c r="A185" s="15" t="s">
        <v>88</v>
      </c>
      <c r="B185" s="16" t="str">
        <f>'Electronic Shop Sales Dataset'!$A185&amp;"-"&amp;'Electronic Shop Sales Dataset'!$C185</f>
        <v>P00018-Drone</v>
      </c>
      <c r="C185" s="16" t="s">
        <v>20</v>
      </c>
      <c r="D185" s="17">
        <v>1300.23</v>
      </c>
      <c r="E185" s="16">
        <v>5</v>
      </c>
      <c r="F185" s="16" t="s">
        <v>21</v>
      </c>
      <c r="G185" s="16" t="s">
        <v>432</v>
      </c>
      <c r="H185" s="16" t="s">
        <v>122</v>
      </c>
      <c r="I185" s="16">
        <v>42.755966000000001</v>
      </c>
      <c r="J185" s="16">
        <v>-107.30249000000001</v>
      </c>
      <c r="K185" s="16" t="s">
        <v>15</v>
      </c>
      <c r="L185" s="18">
        <v>45373</v>
      </c>
      <c r="M185" s="13">
        <f>DATEVALUE(TEXT(L185,"mm/dd/yy"))</f>
        <v>45373</v>
      </c>
      <c r="N185" s="17">
        <f>'Electronic Shop Sales Dataset'!$D185*'Electronic Shop Sales Dataset'!$E185</f>
        <v>6501.15</v>
      </c>
      <c r="O185" s="12" cm="1">
        <f t="array" ref="O185">_xlfn.IFS($K185="Website",$N185*0.05, $K185="Mobile App",$N185*0.05,TRUE,0)</f>
        <v>0</v>
      </c>
      <c r="P185" s="14" t="str">
        <f>IF(COUNTIF($G$2:G760,G185)&gt;1,"Returning","New")</f>
        <v>New</v>
      </c>
      <c r="Q185" s="24" t="str">
        <f t="shared" si="2"/>
        <v>March</v>
      </c>
      <c r="R185" t="str">
        <v>New Arrival</v>
      </c>
    </row>
    <row r="186" spans="1:18" x14ac:dyDescent="0.25">
      <c r="A186" s="10" t="s">
        <v>16</v>
      </c>
      <c r="B186" s="11" t="str">
        <f>'Electronic Shop Sales Dataset'!$A186&amp;"-"&amp;'Electronic Shop Sales Dataset'!$C186</f>
        <v>P00010-Mouse</v>
      </c>
      <c r="C186" s="11" t="s">
        <v>95</v>
      </c>
      <c r="D186" s="12">
        <v>79.39</v>
      </c>
      <c r="E186" s="11">
        <v>1</v>
      </c>
      <c r="F186" s="11" t="s">
        <v>13</v>
      </c>
      <c r="G186" s="11" t="s">
        <v>433</v>
      </c>
      <c r="H186" s="11" t="s">
        <v>77</v>
      </c>
      <c r="I186" s="11">
        <v>44.693947000000001</v>
      </c>
      <c r="J186" s="11">
        <v>-69.381927000000005</v>
      </c>
      <c r="K186" s="11" t="s">
        <v>48</v>
      </c>
      <c r="L186" s="13">
        <v>45373</v>
      </c>
      <c r="M186" s="13">
        <f>DATEVALUE(TEXT(L186,"mm/dd/yy"))</f>
        <v>45373</v>
      </c>
      <c r="N186" s="12">
        <f>'Electronic Shop Sales Dataset'!$D186*'Electronic Shop Sales Dataset'!$E186</f>
        <v>79.39</v>
      </c>
      <c r="O186" s="12" cm="1">
        <f t="array" ref="O186">_xlfn.IFS($K186="Website",$N186*0.05, $K186="Mobile App",$N186*0.05,TRUE,0)</f>
        <v>3.9695</v>
      </c>
      <c r="P186" s="14" t="str">
        <f>IF(COUNTIF($G$2:G761,G186)&gt;1,"Returning","New")</f>
        <v>New</v>
      </c>
      <c r="Q186" s="24" t="str">
        <f t="shared" si="2"/>
        <v>March</v>
      </c>
      <c r="R186" t="str">
        <v>New Arrival</v>
      </c>
    </row>
    <row r="187" spans="1:18" x14ac:dyDescent="0.25">
      <c r="A187" s="15" t="s">
        <v>92</v>
      </c>
      <c r="B187" s="16" t="str">
        <f>'Electronic Shop Sales Dataset'!$A187&amp;"-"&amp;'Electronic Shop Sales Dataset'!$C187</f>
        <v>P00004-Smart TV</v>
      </c>
      <c r="C187" s="16" t="s">
        <v>74</v>
      </c>
      <c r="D187" s="17">
        <v>1984.22</v>
      </c>
      <c r="E187" s="16">
        <v>4</v>
      </c>
      <c r="F187" s="16" t="s">
        <v>43</v>
      </c>
      <c r="G187" s="16" t="s">
        <v>434</v>
      </c>
      <c r="H187" s="16" t="s">
        <v>94</v>
      </c>
      <c r="I187" s="16">
        <v>41.597782000000002</v>
      </c>
      <c r="J187" s="16">
        <v>-72.755370999999997</v>
      </c>
      <c r="K187" s="16" t="s">
        <v>15</v>
      </c>
      <c r="L187" s="18">
        <v>45373</v>
      </c>
      <c r="M187" s="13">
        <f>DATEVALUE(TEXT(L187,"mm/dd/yy"))</f>
        <v>45373</v>
      </c>
      <c r="N187" s="17">
        <f>'Electronic Shop Sales Dataset'!$D187*'Electronic Shop Sales Dataset'!$E187</f>
        <v>7936.88</v>
      </c>
      <c r="O187" s="12" cm="1">
        <f t="array" ref="O187">_xlfn.IFS($K187="Website",$N187*0.05, $K187="Mobile App",$N187*0.05,TRUE,0)</f>
        <v>0</v>
      </c>
      <c r="P187" s="14" t="str">
        <f>IF(COUNTIF($G$2:G762,G187)&gt;1,"Returning","New")</f>
        <v>New</v>
      </c>
      <c r="Q187" s="24" t="str">
        <f t="shared" si="2"/>
        <v>March</v>
      </c>
      <c r="R187" t="str">
        <v>New Arrival</v>
      </c>
    </row>
    <row r="188" spans="1:18" x14ac:dyDescent="0.25">
      <c r="A188" s="10" t="s">
        <v>16</v>
      </c>
      <c r="B188" s="11" t="str">
        <f>'Electronic Shop Sales Dataset'!$A188&amp;"-"&amp;'Electronic Shop Sales Dataset'!$C188</f>
        <v>P00010-Smartphone</v>
      </c>
      <c r="C188" s="11" t="s">
        <v>12</v>
      </c>
      <c r="D188" s="12">
        <v>719.42</v>
      </c>
      <c r="E188" s="11">
        <v>5</v>
      </c>
      <c r="F188" s="11" t="s">
        <v>43</v>
      </c>
      <c r="G188" s="11" t="s">
        <v>435</v>
      </c>
      <c r="H188" s="11" t="s">
        <v>70</v>
      </c>
      <c r="I188" s="11">
        <v>39.849426000000001</v>
      </c>
      <c r="J188" s="11">
        <v>-86.258278000000004</v>
      </c>
      <c r="K188" s="11" t="s">
        <v>23</v>
      </c>
      <c r="L188" s="13">
        <v>45373</v>
      </c>
      <c r="M188" s="13">
        <f>DATEVALUE(TEXT(L188,"mm/dd/yy"))</f>
        <v>45373</v>
      </c>
      <c r="N188" s="12">
        <f>'Electronic Shop Sales Dataset'!$D188*'Electronic Shop Sales Dataset'!$E188</f>
        <v>3597.1</v>
      </c>
      <c r="O188" s="12" cm="1">
        <f t="array" ref="O188">_xlfn.IFS($K188="Website",$N188*0.05, $K188="Mobile App",$N188*0.05,TRUE,0)</f>
        <v>0</v>
      </c>
      <c r="P188" s="14" t="str">
        <f>IF(COUNTIF($G$2:G763,G188)&gt;1,"Returning","New")</f>
        <v>New</v>
      </c>
      <c r="Q188" s="24" t="str">
        <f t="shared" si="2"/>
        <v>March</v>
      </c>
      <c r="R188" t="str">
        <v>New Arrival</v>
      </c>
    </row>
    <row r="189" spans="1:18" x14ac:dyDescent="0.25">
      <c r="A189" s="15" t="s">
        <v>28</v>
      </c>
      <c r="B189" s="16" t="str">
        <f>'Electronic Shop Sales Dataset'!$A189&amp;"-"&amp;'Electronic Shop Sales Dataset'!$C189</f>
        <v>P00006-Smartphone</v>
      </c>
      <c r="C189" s="16" t="s">
        <v>12</v>
      </c>
      <c r="D189" s="17">
        <v>1050.69</v>
      </c>
      <c r="E189" s="16">
        <v>2</v>
      </c>
      <c r="F189" s="16" t="s">
        <v>33</v>
      </c>
      <c r="G189" s="16" t="s">
        <v>436</v>
      </c>
      <c r="H189" s="16" t="s">
        <v>129</v>
      </c>
      <c r="I189" s="16">
        <v>42.165725999999999</v>
      </c>
      <c r="J189" s="16">
        <v>-74.948051000000007</v>
      </c>
      <c r="K189" s="16" t="s">
        <v>54</v>
      </c>
      <c r="L189" s="18">
        <v>45374</v>
      </c>
      <c r="M189" s="13">
        <f>DATEVALUE(TEXT(L189,"mm/dd/yy"))</f>
        <v>45374</v>
      </c>
      <c r="N189" s="17">
        <f>'Electronic Shop Sales Dataset'!$D189*'Electronic Shop Sales Dataset'!$E189</f>
        <v>2101.38</v>
      </c>
      <c r="O189" s="12" cm="1">
        <f t="array" ref="O189">_xlfn.IFS($K189="Website",$N189*0.05, $K189="Mobile App",$N189*0.05,TRUE,0)</f>
        <v>105.06900000000002</v>
      </c>
      <c r="P189" s="14" t="str">
        <f>IF(COUNTIF($G$2:G764,G189)&gt;1,"Returning","New")</f>
        <v>New</v>
      </c>
      <c r="Q189" s="24" t="str">
        <f t="shared" si="2"/>
        <v>March</v>
      </c>
      <c r="R189" t="str">
        <v>New Arrival</v>
      </c>
    </row>
    <row r="190" spans="1:18" x14ac:dyDescent="0.25">
      <c r="A190" s="10" t="s">
        <v>64</v>
      </c>
      <c r="B190" s="11" t="str">
        <f>'Electronic Shop Sales Dataset'!$A190&amp;"-"&amp;'Electronic Shop Sales Dataset'!$C190</f>
        <v>P00011-Headphones</v>
      </c>
      <c r="C190" s="11" t="s">
        <v>55</v>
      </c>
      <c r="D190" s="12">
        <v>65.709999999999994</v>
      </c>
      <c r="E190" s="11">
        <v>2</v>
      </c>
      <c r="F190" s="11" t="s">
        <v>13</v>
      </c>
      <c r="G190" s="11" t="s">
        <v>437</v>
      </c>
      <c r="H190" s="11" t="s">
        <v>93</v>
      </c>
      <c r="I190" s="11">
        <v>38.491225999999997</v>
      </c>
      <c r="J190" s="11">
        <v>-80.954455999999993</v>
      </c>
      <c r="K190" s="11" t="s">
        <v>54</v>
      </c>
      <c r="L190" s="13">
        <v>45374</v>
      </c>
      <c r="M190" s="13">
        <f>DATEVALUE(TEXT(L190,"mm/dd/yy"))</f>
        <v>45374</v>
      </c>
      <c r="N190" s="12">
        <f>'Electronic Shop Sales Dataset'!$D190*'Electronic Shop Sales Dataset'!$E190</f>
        <v>131.41999999999999</v>
      </c>
      <c r="O190" s="12" cm="1">
        <f t="array" ref="O190">_xlfn.IFS($K190="Website",$N190*0.05, $K190="Mobile App",$N190*0.05,TRUE,0)</f>
        <v>6.5709999999999997</v>
      </c>
      <c r="P190" s="14" t="str">
        <f>IF(COUNTIF($G$2:G765,G190)&gt;1,"Returning","New")</f>
        <v>New</v>
      </c>
      <c r="Q190" s="24" t="str">
        <f t="shared" si="2"/>
        <v>March</v>
      </c>
      <c r="R190" t="str">
        <v>New Arrival</v>
      </c>
    </row>
    <row r="191" spans="1:18" x14ac:dyDescent="0.25">
      <c r="A191" s="15" t="s">
        <v>69</v>
      </c>
      <c r="B191" s="16" t="str">
        <f>'Electronic Shop Sales Dataset'!$A191&amp;"-"&amp;'Electronic Shop Sales Dataset'!$C191</f>
        <v>P00005-Keyboard</v>
      </c>
      <c r="C191" s="16" t="s">
        <v>29</v>
      </c>
      <c r="D191" s="17">
        <v>56.18</v>
      </c>
      <c r="E191" s="16">
        <v>4</v>
      </c>
      <c r="F191" s="16" t="s">
        <v>33</v>
      </c>
      <c r="G191" s="16" t="s">
        <v>438</v>
      </c>
      <c r="H191" s="16" t="s">
        <v>45</v>
      </c>
      <c r="I191" s="16">
        <v>36.116202999999999</v>
      </c>
      <c r="J191" s="16">
        <v>-119.68156399999999</v>
      </c>
      <c r="K191" s="16" t="s">
        <v>23</v>
      </c>
      <c r="L191" s="18">
        <v>45374</v>
      </c>
      <c r="M191" s="13">
        <f>DATEVALUE(TEXT(L191,"mm/dd/yy"))</f>
        <v>45374</v>
      </c>
      <c r="N191" s="17">
        <f>'Electronic Shop Sales Dataset'!$D191*'Electronic Shop Sales Dataset'!$E191</f>
        <v>224.72</v>
      </c>
      <c r="O191" s="12" cm="1">
        <f t="array" ref="O191">_xlfn.IFS($K191="Website",$N191*0.05, $K191="Mobile App",$N191*0.05,TRUE,0)</f>
        <v>0</v>
      </c>
      <c r="P191" s="14" t="str">
        <f>IF(COUNTIF($G$2:G766,G191)&gt;1,"Returning","New")</f>
        <v>New</v>
      </c>
      <c r="Q191" s="24" t="str">
        <f t="shared" si="2"/>
        <v>March</v>
      </c>
      <c r="R191" t="str">
        <v>New Arrival</v>
      </c>
    </row>
    <row r="192" spans="1:18" x14ac:dyDescent="0.25">
      <c r="A192" s="10" t="s">
        <v>28</v>
      </c>
      <c r="B192" s="11" t="str">
        <f>'Electronic Shop Sales Dataset'!$A192&amp;"-"&amp;'Electronic Shop Sales Dataset'!$C192</f>
        <v>P00006-Gaming Console</v>
      </c>
      <c r="C192" s="11" t="s">
        <v>17</v>
      </c>
      <c r="D192" s="12">
        <v>618.51</v>
      </c>
      <c r="E192" s="11">
        <v>2</v>
      </c>
      <c r="F192" s="11" t="s">
        <v>43</v>
      </c>
      <c r="G192" s="11" t="s">
        <v>439</v>
      </c>
      <c r="H192" s="11" t="s">
        <v>99</v>
      </c>
      <c r="I192" s="11">
        <v>37.668140000000001</v>
      </c>
      <c r="J192" s="11">
        <v>-84.670067000000003</v>
      </c>
      <c r="K192" s="11" t="s">
        <v>54</v>
      </c>
      <c r="L192" s="13">
        <v>45377</v>
      </c>
      <c r="M192" s="13">
        <f>DATEVALUE(TEXT(L192,"mm/dd/yy"))</f>
        <v>45377</v>
      </c>
      <c r="N192" s="12">
        <f>'Electronic Shop Sales Dataset'!$D192*'Electronic Shop Sales Dataset'!$E192</f>
        <v>1237.02</v>
      </c>
      <c r="O192" s="12" cm="1">
        <f t="array" ref="O192">_xlfn.IFS($K192="Website",$N192*0.05, $K192="Mobile App",$N192*0.05,TRUE,0)</f>
        <v>61.850999999999999</v>
      </c>
      <c r="P192" s="14" t="str">
        <f>IF(COUNTIF($G$2:G767,G192)&gt;1,"Returning","New")</f>
        <v>New</v>
      </c>
      <c r="Q192" s="24" t="str">
        <f t="shared" si="2"/>
        <v>March</v>
      </c>
      <c r="R192" t="str">
        <v>New Arrival</v>
      </c>
    </row>
    <row r="193" spans="1:18" x14ac:dyDescent="0.25">
      <c r="A193" s="15" t="s">
        <v>60</v>
      </c>
      <c r="B193" s="16" t="str">
        <f>'Electronic Shop Sales Dataset'!$A193&amp;"-"&amp;'Electronic Shop Sales Dataset'!$C193</f>
        <v>P00015-Charger</v>
      </c>
      <c r="C193" s="16" t="s">
        <v>32</v>
      </c>
      <c r="D193" s="17">
        <v>46.95</v>
      </c>
      <c r="E193" s="16">
        <v>4</v>
      </c>
      <c r="F193" s="16" t="s">
        <v>33</v>
      </c>
      <c r="G193" s="16" t="s">
        <v>440</v>
      </c>
      <c r="H193" s="16" t="s">
        <v>18</v>
      </c>
      <c r="I193" s="16">
        <v>47.528911999999998</v>
      </c>
      <c r="J193" s="16">
        <v>-99.784012000000004</v>
      </c>
      <c r="K193" s="16" t="s">
        <v>15</v>
      </c>
      <c r="L193" s="18">
        <v>45379</v>
      </c>
      <c r="M193" s="13">
        <f>DATEVALUE(TEXT(L193,"mm/dd/yy"))</f>
        <v>45379</v>
      </c>
      <c r="N193" s="17">
        <f>'Electronic Shop Sales Dataset'!$D193*'Electronic Shop Sales Dataset'!$E193</f>
        <v>187.8</v>
      </c>
      <c r="O193" s="12" cm="1">
        <f t="array" ref="O193">_xlfn.IFS($K193="Website",$N193*0.05, $K193="Mobile App",$N193*0.05,TRUE,0)</f>
        <v>0</v>
      </c>
      <c r="P193" s="14" t="str">
        <f>IF(COUNTIF($G$2:G768,G193)&gt;1,"Returning","New")</f>
        <v>New</v>
      </c>
      <c r="Q193" s="24" t="str">
        <f t="shared" si="2"/>
        <v>March</v>
      </c>
      <c r="R193" t="str">
        <v>New Arrival</v>
      </c>
    </row>
    <row r="194" spans="1:18" x14ac:dyDescent="0.25">
      <c r="A194" s="10" t="s">
        <v>69</v>
      </c>
      <c r="B194" s="11" t="str">
        <f>'Electronic Shop Sales Dataset'!$A194&amp;"-"&amp;'Electronic Shop Sales Dataset'!$C194</f>
        <v>P00005-USB Drive</v>
      </c>
      <c r="C194" s="11" t="s">
        <v>36</v>
      </c>
      <c r="D194" s="12">
        <v>12.19</v>
      </c>
      <c r="E194" s="11">
        <v>4</v>
      </c>
      <c r="F194" s="11" t="s">
        <v>21</v>
      </c>
      <c r="G194" s="11" t="s">
        <v>249</v>
      </c>
      <c r="H194" s="11" t="s">
        <v>104</v>
      </c>
      <c r="I194" s="11">
        <v>61.370716000000002</v>
      </c>
      <c r="J194" s="11">
        <v>-152.40441899999999</v>
      </c>
      <c r="K194" s="11" t="s">
        <v>23</v>
      </c>
      <c r="L194" s="13">
        <v>45379</v>
      </c>
      <c r="M194" s="13">
        <f>DATEVALUE(TEXT(L194,"mm/dd/yy"))</f>
        <v>45379</v>
      </c>
      <c r="N194" s="12">
        <f>'Electronic Shop Sales Dataset'!$D194*'Electronic Shop Sales Dataset'!$E194</f>
        <v>48.76</v>
      </c>
      <c r="O194" s="12" cm="1">
        <f t="array" ref="O194">_xlfn.IFS($K194="Website",$N194*0.05, $K194="Mobile App",$N194*0.05,TRUE,0)</f>
        <v>0</v>
      </c>
      <c r="P194" s="14" t="str">
        <f>IF(COUNTIF($G$2:G769,G194)&gt;1,"Returning","New")</f>
        <v>New</v>
      </c>
      <c r="Q194" s="24" t="str">
        <f t="shared" si="2"/>
        <v>March</v>
      </c>
      <c r="R194" t="str">
        <v>New Arrival</v>
      </c>
    </row>
    <row r="195" spans="1:18" x14ac:dyDescent="0.25">
      <c r="A195" s="15" t="s">
        <v>49</v>
      </c>
      <c r="B195" s="16" t="str">
        <f>'Electronic Shop Sales Dataset'!$A195&amp;"-"&amp;'Electronic Shop Sales Dataset'!$C195</f>
        <v>P00023-Smart TV</v>
      </c>
      <c r="C195" s="16" t="s">
        <v>74</v>
      </c>
      <c r="D195" s="17">
        <v>1811.31</v>
      </c>
      <c r="E195" s="16">
        <v>1</v>
      </c>
      <c r="F195" s="16" t="s">
        <v>13</v>
      </c>
      <c r="G195" s="16" t="s">
        <v>441</v>
      </c>
      <c r="H195" s="16" t="s">
        <v>99</v>
      </c>
      <c r="I195" s="16">
        <v>37.668140000000001</v>
      </c>
      <c r="J195" s="16">
        <v>-84.670067000000003</v>
      </c>
      <c r="K195" s="16" t="s">
        <v>15</v>
      </c>
      <c r="L195" s="18">
        <v>45381</v>
      </c>
      <c r="M195" s="13">
        <f>DATEVALUE(TEXT(L195,"mm/dd/yy"))</f>
        <v>45381</v>
      </c>
      <c r="N195" s="17">
        <f>'Electronic Shop Sales Dataset'!$D195*'Electronic Shop Sales Dataset'!$E195</f>
        <v>1811.31</v>
      </c>
      <c r="O195" s="12" cm="1">
        <f t="array" ref="O195">_xlfn.IFS($K195="Website",$N195*0.05, $K195="Mobile App",$N195*0.05,TRUE,0)</f>
        <v>0</v>
      </c>
      <c r="P195" s="14" t="str">
        <f>IF(COUNTIF($G$2:G770,G195)&gt;1,"Returning","New")</f>
        <v>New</v>
      </c>
      <c r="Q195" s="24" t="str">
        <f t="shared" ref="Q195:Q258" si="3">TEXT(M195,"mmmm")</f>
        <v>March</v>
      </c>
      <c r="R195" t="str">
        <v>New Arrival</v>
      </c>
    </row>
    <row r="196" spans="1:18" x14ac:dyDescent="0.25">
      <c r="A196" s="10" t="s">
        <v>69</v>
      </c>
      <c r="B196" s="11" t="str">
        <f>'Electronic Shop Sales Dataset'!$A196&amp;"-"&amp;'Electronic Shop Sales Dataset'!$C196</f>
        <v>P00005-Speaker</v>
      </c>
      <c r="C196" s="11" t="s">
        <v>106</v>
      </c>
      <c r="D196" s="12">
        <v>173.78</v>
      </c>
      <c r="E196" s="11">
        <v>4</v>
      </c>
      <c r="F196" s="11" t="s">
        <v>33</v>
      </c>
      <c r="G196" s="11" t="s">
        <v>442</v>
      </c>
      <c r="H196" s="11" t="s">
        <v>96</v>
      </c>
      <c r="I196" s="11">
        <v>42.011538999999999</v>
      </c>
      <c r="J196" s="11">
        <v>-93.210526000000002</v>
      </c>
      <c r="K196" s="11" t="s">
        <v>23</v>
      </c>
      <c r="L196" s="13">
        <v>45381</v>
      </c>
      <c r="M196" s="13">
        <f>DATEVALUE(TEXT(L196,"mm/dd/yy"))</f>
        <v>45381</v>
      </c>
      <c r="N196" s="12">
        <f>'Electronic Shop Sales Dataset'!$D196*'Electronic Shop Sales Dataset'!$E196</f>
        <v>695.12</v>
      </c>
      <c r="O196" s="12" cm="1">
        <f t="array" ref="O196">_xlfn.IFS($K196="Website",$N196*0.05, $K196="Mobile App",$N196*0.05,TRUE,0)</f>
        <v>0</v>
      </c>
      <c r="P196" s="14" t="str">
        <f>IF(COUNTIF($G$2:G771,G196)&gt;1,"Returning","New")</f>
        <v>New</v>
      </c>
      <c r="Q196" s="24" t="str">
        <f t="shared" si="3"/>
        <v>March</v>
      </c>
      <c r="R196" t="str">
        <v>New Arrival</v>
      </c>
    </row>
    <row r="197" spans="1:18" x14ac:dyDescent="0.25">
      <c r="A197" s="15" t="s">
        <v>60</v>
      </c>
      <c r="B197" s="16" t="str">
        <f>'Electronic Shop Sales Dataset'!$A197&amp;"-"&amp;'Electronic Shop Sales Dataset'!$C197</f>
        <v>P00015-Smartwatch</v>
      </c>
      <c r="C197" s="16" t="s">
        <v>62</v>
      </c>
      <c r="D197" s="17">
        <v>354.17</v>
      </c>
      <c r="E197" s="16">
        <v>3</v>
      </c>
      <c r="F197" s="16" t="s">
        <v>13</v>
      </c>
      <c r="G197" s="16" t="s">
        <v>443</v>
      </c>
      <c r="H197" s="16" t="s">
        <v>110</v>
      </c>
      <c r="I197" s="16">
        <v>33.040619</v>
      </c>
      <c r="J197" s="16">
        <v>-83.643073999999999</v>
      </c>
      <c r="K197" s="16" t="s">
        <v>54</v>
      </c>
      <c r="L197" s="18">
        <v>45382</v>
      </c>
      <c r="M197" s="13">
        <f>DATEVALUE(TEXT(L197,"mm/dd/yy"))</f>
        <v>45382</v>
      </c>
      <c r="N197" s="17">
        <f>'Electronic Shop Sales Dataset'!$D197*'Electronic Shop Sales Dataset'!$E197</f>
        <v>1062.51</v>
      </c>
      <c r="O197" s="12" cm="1">
        <f t="array" ref="O197">_xlfn.IFS($K197="Website",$N197*0.05, $K197="Mobile App",$N197*0.05,TRUE,0)</f>
        <v>53.125500000000002</v>
      </c>
      <c r="P197" s="14" t="str">
        <f>IF(COUNTIF($G$2:G772,G197)&gt;1,"Returning","New")</f>
        <v>New</v>
      </c>
      <c r="Q197" s="24" t="str">
        <f t="shared" si="3"/>
        <v>March</v>
      </c>
      <c r="R197" t="str">
        <v>New Arrival</v>
      </c>
    </row>
    <row r="198" spans="1:18" x14ac:dyDescent="0.25">
      <c r="A198" s="10" t="s">
        <v>61</v>
      </c>
      <c r="B198" s="11" t="str">
        <f>'Electronic Shop Sales Dataset'!$A198&amp;"-"&amp;'Electronic Shop Sales Dataset'!$C198</f>
        <v>P00002-Keyboard</v>
      </c>
      <c r="C198" s="11" t="s">
        <v>29</v>
      </c>
      <c r="D198" s="12">
        <v>76.540000000000006</v>
      </c>
      <c r="E198" s="11">
        <v>1</v>
      </c>
      <c r="F198" s="11" t="s">
        <v>21</v>
      </c>
      <c r="G198" s="11" t="s">
        <v>444</v>
      </c>
      <c r="H198" s="11" t="s">
        <v>110</v>
      </c>
      <c r="I198" s="11">
        <v>33.040619</v>
      </c>
      <c r="J198" s="11">
        <v>-83.643073999999999</v>
      </c>
      <c r="K198" s="11" t="s">
        <v>27</v>
      </c>
      <c r="L198" s="13">
        <v>45382</v>
      </c>
      <c r="M198" s="13">
        <f>DATEVALUE(TEXT(L198,"mm/dd/yy"))</f>
        <v>45382</v>
      </c>
      <c r="N198" s="12">
        <f>'Electronic Shop Sales Dataset'!$D198*'Electronic Shop Sales Dataset'!$E198</f>
        <v>76.540000000000006</v>
      </c>
      <c r="O198" s="12" cm="1">
        <f t="array" ref="O198">_xlfn.IFS($K198="Website",$N198*0.05, $K198="Mobile App",$N198*0.05,TRUE,0)</f>
        <v>0</v>
      </c>
      <c r="P198" s="14" t="str">
        <f>IF(COUNTIF($G$2:G773,G198)&gt;1,"Returning","New")</f>
        <v>New</v>
      </c>
      <c r="Q198" s="24" t="str">
        <f t="shared" si="3"/>
        <v>March</v>
      </c>
      <c r="R198" t="str">
        <v>New Arrival</v>
      </c>
    </row>
    <row r="199" spans="1:18" x14ac:dyDescent="0.25">
      <c r="A199" s="15" t="s">
        <v>49</v>
      </c>
      <c r="B199" s="16" t="str">
        <f>'Electronic Shop Sales Dataset'!$A199&amp;"-"&amp;'Electronic Shop Sales Dataset'!$C199</f>
        <v>P00023-Tablet</v>
      </c>
      <c r="C199" s="16" t="s">
        <v>83</v>
      </c>
      <c r="D199" s="17">
        <v>217.71</v>
      </c>
      <c r="E199" s="16">
        <v>2</v>
      </c>
      <c r="F199" s="16" t="s">
        <v>21</v>
      </c>
      <c r="G199" s="16" t="s">
        <v>445</v>
      </c>
      <c r="H199" s="16" t="s">
        <v>59</v>
      </c>
      <c r="I199" s="16">
        <v>41.680892999999998</v>
      </c>
      <c r="J199" s="16">
        <v>-71.511780000000002</v>
      </c>
      <c r="K199" s="16" t="s">
        <v>23</v>
      </c>
      <c r="L199" s="18">
        <v>45383</v>
      </c>
      <c r="M199" s="13">
        <f>DATEVALUE(TEXT(L199,"mm/dd/yy"))</f>
        <v>45383</v>
      </c>
      <c r="N199" s="17">
        <f>'Electronic Shop Sales Dataset'!$D199*'Electronic Shop Sales Dataset'!$E199</f>
        <v>435.42</v>
      </c>
      <c r="O199" s="12" cm="1">
        <f t="array" ref="O199">_xlfn.IFS($K199="Website",$N199*0.05, $K199="Mobile App",$N199*0.05,TRUE,0)</f>
        <v>0</v>
      </c>
      <c r="P199" s="14" t="str">
        <f>IF(COUNTIF($G$2:G774,G199)&gt;1,"Returning","New")</f>
        <v>New</v>
      </c>
      <c r="Q199" s="24" t="str">
        <f t="shared" si="3"/>
        <v>April</v>
      </c>
      <c r="R199" t="str">
        <v>New Arrival</v>
      </c>
    </row>
    <row r="200" spans="1:18" x14ac:dyDescent="0.25">
      <c r="A200" s="10" t="s">
        <v>38</v>
      </c>
      <c r="B200" s="11" t="str">
        <f>'Electronic Shop Sales Dataset'!$A200&amp;"-"&amp;'Electronic Shop Sales Dataset'!$C200</f>
        <v>P00007-Keyboard</v>
      </c>
      <c r="C200" s="11" t="s">
        <v>29</v>
      </c>
      <c r="D200" s="12">
        <v>134.24</v>
      </c>
      <c r="E200" s="11">
        <v>5</v>
      </c>
      <c r="F200" s="11" t="s">
        <v>13</v>
      </c>
      <c r="G200" s="11" t="s">
        <v>446</v>
      </c>
      <c r="H200" s="11" t="s">
        <v>70</v>
      </c>
      <c r="I200" s="11">
        <v>39.849426000000001</v>
      </c>
      <c r="J200" s="11">
        <v>-86.258278000000004</v>
      </c>
      <c r="K200" s="11" t="s">
        <v>15</v>
      </c>
      <c r="L200" s="13">
        <v>45383</v>
      </c>
      <c r="M200" s="13">
        <f>DATEVALUE(TEXT(L200,"mm/dd/yy"))</f>
        <v>45383</v>
      </c>
      <c r="N200" s="12">
        <f>'Electronic Shop Sales Dataset'!$D200*'Electronic Shop Sales Dataset'!$E200</f>
        <v>671.2</v>
      </c>
      <c r="O200" s="12" cm="1">
        <f t="array" ref="O200">_xlfn.IFS($K200="Website",$N200*0.05, $K200="Mobile App",$N200*0.05,TRUE,0)</f>
        <v>0</v>
      </c>
      <c r="P200" s="14" t="str">
        <f>IF(COUNTIF($G$2:G775,G200)&gt;1,"Returning","New")</f>
        <v>New</v>
      </c>
      <c r="Q200" s="24" t="str">
        <f t="shared" si="3"/>
        <v>April</v>
      </c>
      <c r="R200" t="str">
        <v>New Arrival</v>
      </c>
    </row>
    <row r="201" spans="1:18" x14ac:dyDescent="0.25">
      <c r="A201" s="15" t="s">
        <v>41</v>
      </c>
      <c r="B201" s="16" t="str">
        <f>'Electronic Shop Sales Dataset'!$A201&amp;"-"&amp;'Electronic Shop Sales Dataset'!$C201</f>
        <v>P00024-Drone</v>
      </c>
      <c r="C201" s="16" t="s">
        <v>20</v>
      </c>
      <c r="D201" s="17">
        <v>1319.44</v>
      </c>
      <c r="E201" s="16">
        <v>2</v>
      </c>
      <c r="F201" s="16" t="s">
        <v>21</v>
      </c>
      <c r="G201" s="16" t="s">
        <v>447</v>
      </c>
      <c r="H201" s="16" t="s">
        <v>110</v>
      </c>
      <c r="I201" s="16">
        <v>33.040619</v>
      </c>
      <c r="J201" s="16">
        <v>-83.643073999999999</v>
      </c>
      <c r="K201" s="16" t="s">
        <v>48</v>
      </c>
      <c r="L201" s="18">
        <v>45384</v>
      </c>
      <c r="M201" s="13">
        <f>DATEVALUE(TEXT(L201,"mm/dd/yy"))</f>
        <v>45384</v>
      </c>
      <c r="N201" s="17">
        <f>'Electronic Shop Sales Dataset'!$D201*'Electronic Shop Sales Dataset'!$E201</f>
        <v>2638.88</v>
      </c>
      <c r="O201" s="12" cm="1">
        <f t="array" ref="O201">_xlfn.IFS($K201="Website",$N201*0.05, $K201="Mobile App",$N201*0.05,TRUE,0)</f>
        <v>131.94400000000002</v>
      </c>
      <c r="P201" s="14" t="str">
        <f>IF(COUNTIF($G$2:G776,G201)&gt;1,"Returning","New")</f>
        <v>New</v>
      </c>
      <c r="Q201" s="24" t="str">
        <f t="shared" si="3"/>
        <v>April</v>
      </c>
      <c r="R201" t="str">
        <v>New Arrival</v>
      </c>
    </row>
    <row r="202" spans="1:18" x14ac:dyDescent="0.25">
      <c r="A202" s="10" t="s">
        <v>49</v>
      </c>
      <c r="B202" s="11" t="str">
        <f>'Electronic Shop Sales Dataset'!$A202&amp;"-"&amp;'Electronic Shop Sales Dataset'!$C202</f>
        <v>P00023-Gaming Console</v>
      </c>
      <c r="C202" s="11" t="s">
        <v>17</v>
      </c>
      <c r="D202" s="12">
        <v>585.38</v>
      </c>
      <c r="E202" s="11">
        <v>4</v>
      </c>
      <c r="F202" s="11" t="s">
        <v>43</v>
      </c>
      <c r="G202" s="11" t="s">
        <v>448</v>
      </c>
      <c r="H202" s="11" t="s">
        <v>85</v>
      </c>
      <c r="I202" s="11">
        <v>31.169546</v>
      </c>
      <c r="J202" s="11">
        <v>-91.867805000000004</v>
      </c>
      <c r="K202" s="11" t="s">
        <v>48</v>
      </c>
      <c r="L202" s="13">
        <v>45384</v>
      </c>
      <c r="M202" s="13">
        <f>DATEVALUE(TEXT(L202,"mm/dd/yy"))</f>
        <v>45384</v>
      </c>
      <c r="N202" s="12">
        <f>'Electronic Shop Sales Dataset'!$D202*'Electronic Shop Sales Dataset'!$E202</f>
        <v>2341.52</v>
      </c>
      <c r="O202" s="12" cm="1">
        <f t="array" ref="O202">_xlfn.IFS($K202="Website",$N202*0.05, $K202="Mobile App",$N202*0.05,TRUE,0)</f>
        <v>117.07600000000001</v>
      </c>
      <c r="P202" s="14" t="str">
        <f>IF(COUNTIF($G$2:G777,G202)&gt;1,"Returning","New")</f>
        <v>New</v>
      </c>
      <c r="Q202" s="24" t="str">
        <f t="shared" si="3"/>
        <v>April</v>
      </c>
      <c r="R202" t="str">
        <v>New Arrival</v>
      </c>
    </row>
    <row r="203" spans="1:18" x14ac:dyDescent="0.25">
      <c r="A203" s="15" t="s">
        <v>84</v>
      </c>
      <c r="B203" s="16" t="str">
        <f>'Electronic Shop Sales Dataset'!$A203&amp;"-"&amp;'Electronic Shop Sales Dataset'!$C203</f>
        <v>P00020-Smartwatch</v>
      </c>
      <c r="C203" s="16" t="s">
        <v>62</v>
      </c>
      <c r="D203" s="17">
        <v>457.8</v>
      </c>
      <c r="E203" s="16">
        <v>4</v>
      </c>
      <c r="F203" s="16" t="s">
        <v>33</v>
      </c>
      <c r="G203" s="16" t="s">
        <v>449</v>
      </c>
      <c r="H203" s="16" t="s">
        <v>63</v>
      </c>
      <c r="I203" s="16">
        <v>34.840515000000003</v>
      </c>
      <c r="J203" s="16">
        <v>-106.248482</v>
      </c>
      <c r="K203" s="16" t="s">
        <v>15</v>
      </c>
      <c r="L203" s="18">
        <v>45384</v>
      </c>
      <c r="M203" s="13">
        <f>DATEVALUE(TEXT(L203,"mm/dd/yy"))</f>
        <v>45384</v>
      </c>
      <c r="N203" s="17">
        <f>'Electronic Shop Sales Dataset'!$D203*'Electronic Shop Sales Dataset'!$E203</f>
        <v>1831.2</v>
      </c>
      <c r="O203" s="12" cm="1">
        <f t="array" ref="O203">_xlfn.IFS($K203="Website",$N203*0.05, $K203="Mobile App",$N203*0.05,TRUE,0)</f>
        <v>0</v>
      </c>
      <c r="P203" s="14" t="str">
        <f>IF(COUNTIF($G$2:G778,G203)&gt;1,"Returning","New")</f>
        <v>New</v>
      </c>
      <c r="Q203" s="24" t="str">
        <f t="shared" si="3"/>
        <v>April</v>
      </c>
      <c r="R203" t="str">
        <v>New Arrival</v>
      </c>
    </row>
    <row r="204" spans="1:18" x14ac:dyDescent="0.25">
      <c r="A204" s="10" t="s">
        <v>86</v>
      </c>
      <c r="B204" s="11" t="str">
        <f>'Electronic Shop Sales Dataset'!$A204&amp;"-"&amp;'Electronic Shop Sales Dataset'!$C204</f>
        <v>P00021-Router</v>
      </c>
      <c r="C204" s="11" t="s">
        <v>39</v>
      </c>
      <c r="D204" s="12">
        <v>85.56</v>
      </c>
      <c r="E204" s="11">
        <v>5</v>
      </c>
      <c r="F204" s="11" t="s">
        <v>13</v>
      </c>
      <c r="G204" s="11" t="s">
        <v>450</v>
      </c>
      <c r="H204" s="11" t="s">
        <v>77</v>
      </c>
      <c r="I204" s="11">
        <v>44.693947000000001</v>
      </c>
      <c r="J204" s="11">
        <v>-69.381927000000005</v>
      </c>
      <c r="K204" s="11" t="s">
        <v>23</v>
      </c>
      <c r="L204" s="13">
        <v>45384</v>
      </c>
      <c r="M204" s="13">
        <f>DATEVALUE(TEXT(L204,"mm/dd/yy"))</f>
        <v>45384</v>
      </c>
      <c r="N204" s="12">
        <f>'Electronic Shop Sales Dataset'!$D204*'Electronic Shop Sales Dataset'!$E204</f>
        <v>427.8</v>
      </c>
      <c r="O204" s="12" cm="1">
        <f t="array" ref="O204">_xlfn.IFS($K204="Website",$N204*0.05, $K204="Mobile App",$N204*0.05,TRUE,0)</f>
        <v>0</v>
      </c>
      <c r="P204" s="14" t="str">
        <f>IF(COUNTIF($G$2:G779,G204)&gt;1,"Returning","New")</f>
        <v>New</v>
      </c>
      <c r="Q204" s="24" t="str">
        <f t="shared" si="3"/>
        <v>April</v>
      </c>
      <c r="R204" t="str">
        <v>New Arrival</v>
      </c>
    </row>
    <row r="205" spans="1:18" x14ac:dyDescent="0.25">
      <c r="A205" s="15" t="s">
        <v>64</v>
      </c>
      <c r="B205" s="16" t="str">
        <f>'Electronic Shop Sales Dataset'!$A205&amp;"-"&amp;'Electronic Shop Sales Dataset'!$C205</f>
        <v>P00011-Smartphone</v>
      </c>
      <c r="C205" s="16" t="s">
        <v>12</v>
      </c>
      <c r="D205" s="17">
        <v>1088.1400000000001</v>
      </c>
      <c r="E205" s="16">
        <v>2</v>
      </c>
      <c r="F205" s="16" t="s">
        <v>21</v>
      </c>
      <c r="G205" s="16" t="s">
        <v>451</v>
      </c>
      <c r="H205" s="16" t="s">
        <v>50</v>
      </c>
      <c r="I205" s="16">
        <v>47.400902000000002</v>
      </c>
      <c r="J205" s="16">
        <v>-121.490494</v>
      </c>
      <c r="K205" s="16" t="s">
        <v>48</v>
      </c>
      <c r="L205" s="18">
        <v>45384</v>
      </c>
      <c r="M205" s="13">
        <f>DATEVALUE(TEXT(L205,"mm/dd/yy"))</f>
        <v>45384</v>
      </c>
      <c r="N205" s="17">
        <f>'Electronic Shop Sales Dataset'!$D205*'Electronic Shop Sales Dataset'!$E205</f>
        <v>2176.2800000000002</v>
      </c>
      <c r="O205" s="12" cm="1">
        <f t="array" ref="O205">_xlfn.IFS($K205="Website",$N205*0.05, $K205="Mobile App",$N205*0.05,TRUE,0)</f>
        <v>108.81400000000002</v>
      </c>
      <c r="P205" s="14" t="str">
        <f>IF(COUNTIF($G$2:G780,G205)&gt;1,"Returning","New")</f>
        <v>New</v>
      </c>
      <c r="Q205" s="24" t="str">
        <f t="shared" si="3"/>
        <v>April</v>
      </c>
      <c r="R205" t="str">
        <v>New Arrival</v>
      </c>
    </row>
    <row r="206" spans="1:18" x14ac:dyDescent="0.25">
      <c r="A206" s="10" t="s">
        <v>88</v>
      </c>
      <c r="B206" s="11" t="str">
        <f>'Electronic Shop Sales Dataset'!$A206&amp;"-"&amp;'Electronic Shop Sales Dataset'!$C206</f>
        <v>P00018-VR Headset</v>
      </c>
      <c r="C206" s="11" t="s">
        <v>72</v>
      </c>
      <c r="D206" s="12">
        <v>723.84</v>
      </c>
      <c r="E206" s="11">
        <v>4</v>
      </c>
      <c r="F206" s="11" t="s">
        <v>33</v>
      </c>
      <c r="G206" s="11" t="s">
        <v>452</v>
      </c>
      <c r="H206" s="11" t="s">
        <v>22</v>
      </c>
      <c r="I206" s="11">
        <v>32.741646000000003</v>
      </c>
      <c r="J206" s="11">
        <v>-89.678696000000002</v>
      </c>
      <c r="K206" s="11" t="s">
        <v>48</v>
      </c>
      <c r="L206" s="13">
        <v>45384</v>
      </c>
      <c r="M206" s="13">
        <f>DATEVALUE(TEXT(L206,"mm/dd/yy"))</f>
        <v>45384</v>
      </c>
      <c r="N206" s="12">
        <f>'Electronic Shop Sales Dataset'!$D206*'Electronic Shop Sales Dataset'!$E206</f>
        <v>2895.36</v>
      </c>
      <c r="O206" s="12" cm="1">
        <f t="array" ref="O206">_xlfn.IFS($K206="Website",$N206*0.05, $K206="Mobile App",$N206*0.05,TRUE,0)</f>
        <v>144.768</v>
      </c>
      <c r="P206" s="14" t="str">
        <f>IF(COUNTIF($G$2:G781,G206)&gt;1,"Returning","New")</f>
        <v>New</v>
      </c>
      <c r="Q206" s="24" t="str">
        <f t="shared" si="3"/>
        <v>April</v>
      </c>
      <c r="R206" t="str">
        <v>New Arrival</v>
      </c>
    </row>
    <row r="207" spans="1:18" x14ac:dyDescent="0.25">
      <c r="A207" s="15" t="s">
        <v>35</v>
      </c>
      <c r="B207" s="16" t="str">
        <f>'Electronic Shop Sales Dataset'!$A207&amp;"-"&amp;'Electronic Shop Sales Dataset'!$C207</f>
        <v>P00008-Camera</v>
      </c>
      <c r="C207" s="16" t="s">
        <v>46</v>
      </c>
      <c r="D207" s="17">
        <v>2450.08</v>
      </c>
      <c r="E207" s="16">
        <v>1</v>
      </c>
      <c r="F207" s="16" t="s">
        <v>21</v>
      </c>
      <c r="G207" s="16" t="s">
        <v>453</v>
      </c>
      <c r="H207" s="16" t="s">
        <v>93</v>
      </c>
      <c r="I207" s="16">
        <v>38.491225999999997</v>
      </c>
      <c r="J207" s="16">
        <v>-80.954455999999993</v>
      </c>
      <c r="K207" s="16" t="s">
        <v>15</v>
      </c>
      <c r="L207" s="18">
        <v>45385</v>
      </c>
      <c r="M207" s="13">
        <f>DATEVALUE(TEXT(L207,"mm/dd/yy"))</f>
        <v>45385</v>
      </c>
      <c r="N207" s="17">
        <f>'Electronic Shop Sales Dataset'!$D207*'Electronic Shop Sales Dataset'!$E207</f>
        <v>2450.08</v>
      </c>
      <c r="O207" s="12" cm="1">
        <f t="array" ref="O207">_xlfn.IFS($K207="Website",$N207*0.05, $K207="Mobile App",$N207*0.05,TRUE,0)</f>
        <v>0</v>
      </c>
      <c r="P207" s="14" t="str">
        <f>IF(COUNTIF($G$2:G782,G207)&gt;1,"Returning","New")</f>
        <v>New</v>
      </c>
      <c r="Q207" s="24" t="str">
        <f t="shared" si="3"/>
        <v>April</v>
      </c>
      <c r="R207" t="str">
        <v>New Arrival</v>
      </c>
    </row>
    <row r="208" spans="1:18" x14ac:dyDescent="0.25">
      <c r="A208" s="10" t="s">
        <v>79</v>
      </c>
      <c r="B208" s="11" t="str">
        <f>'Electronic Shop Sales Dataset'!$A208&amp;"-"&amp;'Electronic Shop Sales Dataset'!$C208</f>
        <v>P00012-Projector</v>
      </c>
      <c r="C208" s="11" t="s">
        <v>65</v>
      </c>
      <c r="D208" s="12">
        <v>213.18</v>
      </c>
      <c r="E208" s="11">
        <v>1</v>
      </c>
      <c r="F208" s="11" t="s">
        <v>13</v>
      </c>
      <c r="G208" s="11" t="s">
        <v>454</v>
      </c>
      <c r="H208" s="11" t="s">
        <v>129</v>
      </c>
      <c r="I208" s="11">
        <v>42.165725999999999</v>
      </c>
      <c r="J208" s="11">
        <v>-74.948051000000007</v>
      </c>
      <c r="K208" s="11" t="s">
        <v>54</v>
      </c>
      <c r="L208" s="13">
        <v>45385</v>
      </c>
      <c r="M208" s="13">
        <f>DATEVALUE(TEXT(L208,"mm/dd/yy"))</f>
        <v>45385</v>
      </c>
      <c r="N208" s="12">
        <f>'Electronic Shop Sales Dataset'!$D208*'Electronic Shop Sales Dataset'!$E208</f>
        <v>213.18</v>
      </c>
      <c r="O208" s="12" cm="1">
        <f t="array" ref="O208">_xlfn.IFS($K208="Website",$N208*0.05, $K208="Mobile App",$N208*0.05,TRUE,0)</f>
        <v>10.659000000000001</v>
      </c>
      <c r="P208" s="14" t="str">
        <f>IF(COUNTIF($G$2:G783,G208)&gt;1,"Returning","New")</f>
        <v>New</v>
      </c>
      <c r="Q208" s="24" t="str">
        <f t="shared" si="3"/>
        <v>April</v>
      </c>
      <c r="R208" t="str">
        <v>New Arrival</v>
      </c>
    </row>
    <row r="209" spans="1:18" x14ac:dyDescent="0.25">
      <c r="A209" s="15" t="s">
        <v>31</v>
      </c>
      <c r="B209" s="16" t="str">
        <f>'Electronic Shop Sales Dataset'!$A209&amp;"-"&amp;'Electronic Shop Sales Dataset'!$C209</f>
        <v>P00022-USB Drive</v>
      </c>
      <c r="C209" s="16" t="s">
        <v>36</v>
      </c>
      <c r="D209" s="17">
        <v>28.53</v>
      </c>
      <c r="E209" s="16">
        <v>1</v>
      </c>
      <c r="F209" s="16" t="s">
        <v>21</v>
      </c>
      <c r="G209" s="16" t="s">
        <v>455</v>
      </c>
      <c r="H209" s="16" t="s">
        <v>40</v>
      </c>
      <c r="I209" s="16">
        <v>44.572020999999999</v>
      </c>
      <c r="J209" s="16">
        <v>-122.070938</v>
      </c>
      <c r="K209" s="16" t="s">
        <v>15</v>
      </c>
      <c r="L209" s="18">
        <v>45386</v>
      </c>
      <c r="M209" s="13">
        <f>DATEVALUE(TEXT(L209,"mm/dd/yy"))</f>
        <v>45386</v>
      </c>
      <c r="N209" s="17">
        <f>'Electronic Shop Sales Dataset'!$D209*'Electronic Shop Sales Dataset'!$E209</f>
        <v>28.53</v>
      </c>
      <c r="O209" s="12" cm="1">
        <f t="array" ref="O209">_xlfn.IFS($K209="Website",$N209*0.05, $K209="Mobile App",$N209*0.05,TRUE,0)</f>
        <v>0</v>
      </c>
      <c r="P209" s="14" t="str">
        <f>IF(COUNTIF($G$2:G784,G209)&gt;1,"Returning","New")</f>
        <v>New</v>
      </c>
      <c r="Q209" s="24" t="str">
        <f t="shared" si="3"/>
        <v>April</v>
      </c>
      <c r="R209" t="str">
        <v>New Arrival</v>
      </c>
    </row>
    <row r="210" spans="1:18" x14ac:dyDescent="0.25">
      <c r="A210" s="10" t="s">
        <v>16</v>
      </c>
      <c r="B210" s="11" t="str">
        <f>'Electronic Shop Sales Dataset'!$A210&amp;"-"&amp;'Electronic Shop Sales Dataset'!$C210</f>
        <v>P00010-Smartwatch</v>
      </c>
      <c r="C210" s="11" t="s">
        <v>62</v>
      </c>
      <c r="D210" s="12">
        <v>114.68</v>
      </c>
      <c r="E210" s="11">
        <v>3</v>
      </c>
      <c r="F210" s="11" t="s">
        <v>43</v>
      </c>
      <c r="G210" s="11" t="s">
        <v>456</v>
      </c>
      <c r="H210" s="11" t="s">
        <v>63</v>
      </c>
      <c r="I210" s="11">
        <v>34.840515000000003</v>
      </c>
      <c r="J210" s="11">
        <v>-106.248482</v>
      </c>
      <c r="K210" s="11" t="s">
        <v>23</v>
      </c>
      <c r="L210" s="13">
        <v>45386</v>
      </c>
      <c r="M210" s="13">
        <f>DATEVALUE(TEXT(L210,"mm/dd/yy"))</f>
        <v>45386</v>
      </c>
      <c r="N210" s="12">
        <f>'Electronic Shop Sales Dataset'!$D210*'Electronic Shop Sales Dataset'!$E210</f>
        <v>344.04</v>
      </c>
      <c r="O210" s="12" cm="1">
        <f t="array" ref="O210">_xlfn.IFS($K210="Website",$N210*0.05, $K210="Mobile App",$N210*0.05,TRUE,0)</f>
        <v>0</v>
      </c>
      <c r="P210" s="14" t="str">
        <f>IF(COUNTIF($G$2:G785,G210)&gt;1,"Returning","New")</f>
        <v>New</v>
      </c>
      <c r="Q210" s="24" t="str">
        <f t="shared" si="3"/>
        <v>April</v>
      </c>
      <c r="R210" t="str">
        <v>New Arrival</v>
      </c>
    </row>
    <row r="211" spans="1:18" x14ac:dyDescent="0.25">
      <c r="A211" s="15" t="s">
        <v>35</v>
      </c>
      <c r="B211" s="16" t="str">
        <f>'Electronic Shop Sales Dataset'!$A211&amp;"-"&amp;'Electronic Shop Sales Dataset'!$C211</f>
        <v>P00008-Scanner</v>
      </c>
      <c r="C211" s="16" t="s">
        <v>71</v>
      </c>
      <c r="D211" s="17">
        <v>367.52</v>
      </c>
      <c r="E211" s="16">
        <v>2</v>
      </c>
      <c r="F211" s="16" t="s">
        <v>21</v>
      </c>
      <c r="G211" s="16" t="s">
        <v>457</v>
      </c>
      <c r="H211" s="16" t="s">
        <v>26</v>
      </c>
      <c r="I211" s="16">
        <v>35.747844999999998</v>
      </c>
      <c r="J211" s="16">
        <v>-86.692345000000003</v>
      </c>
      <c r="K211" s="16" t="s">
        <v>23</v>
      </c>
      <c r="L211" s="18">
        <v>45386</v>
      </c>
      <c r="M211" s="13">
        <f>DATEVALUE(TEXT(L211,"mm/dd/yy"))</f>
        <v>45386</v>
      </c>
      <c r="N211" s="17">
        <f>'Electronic Shop Sales Dataset'!$D211*'Electronic Shop Sales Dataset'!$E211</f>
        <v>735.04</v>
      </c>
      <c r="O211" s="12" cm="1">
        <f t="array" ref="O211">_xlfn.IFS($K211="Website",$N211*0.05, $K211="Mobile App",$N211*0.05,TRUE,0)</f>
        <v>0</v>
      </c>
      <c r="P211" s="14" t="str">
        <f>IF(COUNTIF($G$2:G786,G211)&gt;1,"Returning","New")</f>
        <v>New</v>
      </c>
      <c r="Q211" s="24" t="str">
        <f t="shared" si="3"/>
        <v>April</v>
      </c>
      <c r="R211" t="str">
        <v>New Arrival</v>
      </c>
    </row>
    <row r="212" spans="1:18" x14ac:dyDescent="0.25">
      <c r="A212" s="10" t="s">
        <v>86</v>
      </c>
      <c r="B212" s="11" t="str">
        <f>'Electronic Shop Sales Dataset'!$A212&amp;"-"&amp;'Electronic Shop Sales Dataset'!$C212</f>
        <v>P00021-Charger</v>
      </c>
      <c r="C212" s="11" t="s">
        <v>32</v>
      </c>
      <c r="D212" s="12">
        <v>33.9</v>
      </c>
      <c r="E212" s="11">
        <v>1</v>
      </c>
      <c r="F212" s="11" t="s">
        <v>21</v>
      </c>
      <c r="G212" s="11" t="s">
        <v>458</v>
      </c>
      <c r="H212" s="11" t="s">
        <v>103</v>
      </c>
      <c r="I212" s="11">
        <v>43.326618000000003</v>
      </c>
      <c r="J212" s="11">
        <v>-84.536095000000003</v>
      </c>
      <c r="K212" s="11" t="s">
        <v>23</v>
      </c>
      <c r="L212" s="13">
        <v>45387</v>
      </c>
      <c r="M212" s="13">
        <f>DATEVALUE(TEXT(L212,"mm/dd/yy"))</f>
        <v>45387</v>
      </c>
      <c r="N212" s="12">
        <f>'Electronic Shop Sales Dataset'!$D212*'Electronic Shop Sales Dataset'!$E212</f>
        <v>33.9</v>
      </c>
      <c r="O212" s="12" cm="1">
        <f t="array" ref="O212">_xlfn.IFS($K212="Website",$N212*0.05, $K212="Mobile App",$N212*0.05,TRUE,0)</f>
        <v>0</v>
      </c>
      <c r="P212" s="14" t="str">
        <f>IF(COUNTIF($G$2:G787,G212)&gt;1,"Returning","New")</f>
        <v>New</v>
      </c>
      <c r="Q212" s="24" t="str">
        <f t="shared" si="3"/>
        <v>April</v>
      </c>
      <c r="R212" t="str">
        <v>New Arrival</v>
      </c>
    </row>
    <row r="213" spans="1:18" x14ac:dyDescent="0.25">
      <c r="A213" s="15" t="s">
        <v>92</v>
      </c>
      <c r="B213" s="16" t="str">
        <f>'Electronic Shop Sales Dataset'!$A213&amp;"-"&amp;'Electronic Shop Sales Dataset'!$C213</f>
        <v>P00004-Smart Home Hub</v>
      </c>
      <c r="C213" s="16" t="s">
        <v>42</v>
      </c>
      <c r="D213" s="17">
        <v>207.36</v>
      </c>
      <c r="E213" s="16">
        <v>2</v>
      </c>
      <c r="F213" s="16" t="s">
        <v>43</v>
      </c>
      <c r="G213" s="16" t="s">
        <v>459</v>
      </c>
      <c r="H213" s="16" t="s">
        <v>87</v>
      </c>
      <c r="I213" s="16">
        <v>33.729759000000001</v>
      </c>
      <c r="J213" s="16">
        <v>-111.43122099999999</v>
      </c>
      <c r="K213" s="16" t="s">
        <v>48</v>
      </c>
      <c r="L213" s="18">
        <v>45387</v>
      </c>
      <c r="M213" s="13">
        <f>DATEVALUE(TEXT(L213,"mm/dd/yy"))</f>
        <v>45387</v>
      </c>
      <c r="N213" s="17">
        <f>'Electronic Shop Sales Dataset'!$D213*'Electronic Shop Sales Dataset'!$E213</f>
        <v>414.72</v>
      </c>
      <c r="O213" s="12" cm="1">
        <f t="array" ref="O213">_xlfn.IFS($K213="Website",$N213*0.05, $K213="Mobile App",$N213*0.05,TRUE,0)</f>
        <v>20.736000000000004</v>
      </c>
      <c r="P213" s="14" t="str">
        <f>IF(COUNTIF($G$2:G788,G213)&gt;1,"Returning","New")</f>
        <v>New</v>
      </c>
      <c r="Q213" s="24" t="str">
        <f t="shared" si="3"/>
        <v>April</v>
      </c>
      <c r="R213" t="str">
        <v>New Arrival</v>
      </c>
    </row>
    <row r="214" spans="1:18" x14ac:dyDescent="0.25">
      <c r="A214" s="10" t="s">
        <v>16</v>
      </c>
      <c r="B214" s="11" t="str">
        <f>'Electronic Shop Sales Dataset'!$A214&amp;"-"&amp;'Electronic Shop Sales Dataset'!$C214</f>
        <v>P00010-Tablet</v>
      </c>
      <c r="C214" s="11" t="s">
        <v>83</v>
      </c>
      <c r="D214" s="12">
        <v>207.19</v>
      </c>
      <c r="E214" s="11">
        <v>5</v>
      </c>
      <c r="F214" s="11" t="s">
        <v>21</v>
      </c>
      <c r="G214" s="11" t="s">
        <v>460</v>
      </c>
      <c r="H214" s="11" t="s">
        <v>93</v>
      </c>
      <c r="I214" s="11">
        <v>38.491225999999997</v>
      </c>
      <c r="J214" s="11">
        <v>-80.954455999999993</v>
      </c>
      <c r="K214" s="11" t="s">
        <v>15</v>
      </c>
      <c r="L214" s="13">
        <v>45388</v>
      </c>
      <c r="M214" s="13">
        <f>DATEVALUE(TEXT(L214,"mm/dd/yy"))</f>
        <v>45388</v>
      </c>
      <c r="N214" s="12">
        <f>'Electronic Shop Sales Dataset'!$D214*'Electronic Shop Sales Dataset'!$E214</f>
        <v>1035.95</v>
      </c>
      <c r="O214" s="12" cm="1">
        <f t="array" ref="O214">_xlfn.IFS($K214="Website",$N214*0.05, $K214="Mobile App",$N214*0.05,TRUE,0)</f>
        <v>0</v>
      </c>
      <c r="P214" s="14" t="str">
        <f>IF(COUNTIF($G$2:G789,G214)&gt;1,"Returning","New")</f>
        <v>New</v>
      </c>
      <c r="Q214" s="24" t="str">
        <f t="shared" si="3"/>
        <v>April</v>
      </c>
      <c r="R214" t="str">
        <v>New Arrival</v>
      </c>
    </row>
    <row r="215" spans="1:18" x14ac:dyDescent="0.25">
      <c r="A215" s="15" t="s">
        <v>90</v>
      </c>
      <c r="B215" s="16" t="str">
        <f>'Electronic Shop Sales Dataset'!$A215&amp;"-"&amp;'Electronic Shop Sales Dataset'!$C215</f>
        <v>P00014-Speaker</v>
      </c>
      <c r="C215" s="16" t="s">
        <v>106</v>
      </c>
      <c r="D215" s="17">
        <v>303.89999999999998</v>
      </c>
      <c r="E215" s="16">
        <v>5</v>
      </c>
      <c r="F215" s="16" t="s">
        <v>21</v>
      </c>
      <c r="G215" s="16" t="s">
        <v>244</v>
      </c>
      <c r="H215" s="16" t="s">
        <v>101</v>
      </c>
      <c r="I215" s="16">
        <v>21.094318000000001</v>
      </c>
      <c r="J215" s="16">
        <v>-157.49833699999999</v>
      </c>
      <c r="K215" s="16" t="s">
        <v>27</v>
      </c>
      <c r="L215" s="18">
        <v>45389</v>
      </c>
      <c r="M215" s="13">
        <f>DATEVALUE(TEXT(L215,"mm/dd/yy"))</f>
        <v>45389</v>
      </c>
      <c r="N215" s="17">
        <f>'Electronic Shop Sales Dataset'!$D215*'Electronic Shop Sales Dataset'!$E215</f>
        <v>1519.5</v>
      </c>
      <c r="O215" s="12" cm="1">
        <f t="array" ref="O215">_xlfn.IFS($K215="Website",$N215*0.05, $K215="Mobile App",$N215*0.05,TRUE,0)</f>
        <v>0</v>
      </c>
      <c r="P215" s="14" t="str">
        <f>IF(COUNTIF($G$2:G790,G215)&gt;1,"Returning","New")</f>
        <v>New</v>
      </c>
      <c r="Q215" s="24" t="str">
        <f t="shared" si="3"/>
        <v>April</v>
      </c>
      <c r="R215" t="str">
        <v>New Arrival</v>
      </c>
    </row>
    <row r="216" spans="1:18" x14ac:dyDescent="0.25">
      <c r="A216" s="10" t="s">
        <v>88</v>
      </c>
      <c r="B216" s="11" t="str">
        <f>'Electronic Shop Sales Dataset'!$A216&amp;"-"&amp;'Electronic Shop Sales Dataset'!$C216</f>
        <v>P00018-Gaming Console</v>
      </c>
      <c r="C216" s="11" t="s">
        <v>17</v>
      </c>
      <c r="D216" s="12">
        <v>647.44000000000005</v>
      </c>
      <c r="E216" s="11">
        <v>1</v>
      </c>
      <c r="F216" s="11" t="s">
        <v>43</v>
      </c>
      <c r="G216" s="11" t="s">
        <v>461</v>
      </c>
      <c r="H216" s="11" t="s">
        <v>45</v>
      </c>
      <c r="I216" s="11">
        <v>36.116202999999999</v>
      </c>
      <c r="J216" s="11">
        <v>-119.68156399999999</v>
      </c>
      <c r="K216" s="11" t="s">
        <v>23</v>
      </c>
      <c r="L216" s="13">
        <v>45389</v>
      </c>
      <c r="M216" s="13">
        <f>DATEVALUE(TEXT(L216,"mm/dd/yy"))</f>
        <v>45389</v>
      </c>
      <c r="N216" s="12">
        <f>'Electronic Shop Sales Dataset'!$D216*'Electronic Shop Sales Dataset'!$E216</f>
        <v>647.44000000000005</v>
      </c>
      <c r="O216" s="12" cm="1">
        <f t="array" ref="O216">_xlfn.IFS($K216="Website",$N216*0.05, $K216="Mobile App",$N216*0.05,TRUE,0)</f>
        <v>0</v>
      </c>
      <c r="P216" s="14" t="str">
        <f>IF(COUNTIF($G$2:G791,G216)&gt;1,"Returning","New")</f>
        <v>New</v>
      </c>
      <c r="Q216" s="24" t="str">
        <f t="shared" si="3"/>
        <v>April</v>
      </c>
      <c r="R216" t="str">
        <v>New Arrival</v>
      </c>
    </row>
    <row r="217" spans="1:18" x14ac:dyDescent="0.25">
      <c r="A217" s="15" t="s">
        <v>24</v>
      </c>
      <c r="B217" s="16" t="str">
        <f>'Electronic Shop Sales Dataset'!$A217&amp;"-"&amp;'Electronic Shop Sales Dataset'!$C217</f>
        <v>P00013-Gaming Console</v>
      </c>
      <c r="C217" s="16" t="s">
        <v>17</v>
      </c>
      <c r="D217" s="17">
        <v>456.08</v>
      </c>
      <c r="E217" s="16">
        <v>1</v>
      </c>
      <c r="F217" s="16" t="s">
        <v>21</v>
      </c>
      <c r="G217" s="16" t="s">
        <v>172</v>
      </c>
      <c r="H217" s="16" t="s">
        <v>91</v>
      </c>
      <c r="I217" s="16">
        <v>38.313515000000002</v>
      </c>
      <c r="J217" s="16">
        <v>-117.055374</v>
      </c>
      <c r="K217" s="16" t="s">
        <v>48</v>
      </c>
      <c r="L217" s="18">
        <v>45389</v>
      </c>
      <c r="M217" s="13">
        <f>DATEVALUE(TEXT(L217,"mm/dd/yy"))</f>
        <v>45389</v>
      </c>
      <c r="N217" s="17">
        <f>'Electronic Shop Sales Dataset'!$D217*'Electronic Shop Sales Dataset'!$E217</f>
        <v>456.08</v>
      </c>
      <c r="O217" s="12" cm="1">
        <f t="array" ref="O217">_xlfn.IFS($K217="Website",$N217*0.05, $K217="Mobile App",$N217*0.05,TRUE,0)</f>
        <v>22.804000000000002</v>
      </c>
      <c r="P217" s="14" t="str">
        <f>IF(COUNTIF($G$2:G792,G217)&gt;1,"Returning","New")</f>
        <v>New</v>
      </c>
      <c r="Q217" s="24" t="str">
        <f t="shared" si="3"/>
        <v>April</v>
      </c>
      <c r="R217" t="str">
        <v>New Arrival</v>
      </c>
    </row>
    <row r="218" spans="1:18" x14ac:dyDescent="0.25">
      <c r="A218" s="10" t="s">
        <v>102</v>
      </c>
      <c r="B218" s="11" t="str">
        <f>'Electronic Shop Sales Dataset'!$A218&amp;"-"&amp;'Electronic Shop Sales Dataset'!$C218</f>
        <v>P00001-Graphics Card</v>
      </c>
      <c r="C218" s="11" t="s">
        <v>125</v>
      </c>
      <c r="D218" s="12">
        <v>1528.4</v>
      </c>
      <c r="E218" s="11">
        <v>5</v>
      </c>
      <c r="F218" s="11" t="s">
        <v>43</v>
      </c>
      <c r="G218" s="11" t="s">
        <v>232</v>
      </c>
      <c r="H218" s="11" t="s">
        <v>22</v>
      </c>
      <c r="I218" s="11">
        <v>32.741646000000003</v>
      </c>
      <c r="J218" s="11">
        <v>-89.678696000000002</v>
      </c>
      <c r="K218" s="11" t="s">
        <v>15</v>
      </c>
      <c r="L218" s="13">
        <v>45389</v>
      </c>
      <c r="M218" s="13">
        <f>DATEVALUE(TEXT(L218,"mm/dd/yy"))</f>
        <v>45389</v>
      </c>
      <c r="N218" s="12">
        <f>'Electronic Shop Sales Dataset'!$D218*'Electronic Shop Sales Dataset'!$E218</f>
        <v>7642</v>
      </c>
      <c r="O218" s="12" cm="1">
        <f t="array" ref="O218">_xlfn.IFS($K218="Website",$N218*0.05, $K218="Mobile App",$N218*0.05,TRUE,0)</f>
        <v>0</v>
      </c>
      <c r="P218" s="14" t="str">
        <f>IF(COUNTIF($G$2:G793,G218)&gt;1,"Returning","New")</f>
        <v>New</v>
      </c>
      <c r="Q218" s="24" t="str">
        <f t="shared" si="3"/>
        <v>April</v>
      </c>
      <c r="R218" t="str">
        <v>New Arrival</v>
      </c>
    </row>
    <row r="219" spans="1:18" x14ac:dyDescent="0.25">
      <c r="A219" s="15" t="s">
        <v>28</v>
      </c>
      <c r="B219" s="16" t="str">
        <f>'Electronic Shop Sales Dataset'!$A219&amp;"-"&amp;'Electronic Shop Sales Dataset'!$C219</f>
        <v>P00006-Mouse</v>
      </c>
      <c r="C219" s="16" t="s">
        <v>95</v>
      </c>
      <c r="D219" s="17">
        <v>39.090000000000003</v>
      </c>
      <c r="E219" s="16">
        <v>5</v>
      </c>
      <c r="F219" s="16" t="s">
        <v>21</v>
      </c>
      <c r="G219" s="16" t="s">
        <v>462</v>
      </c>
      <c r="H219" s="16" t="s">
        <v>70</v>
      </c>
      <c r="I219" s="16">
        <v>39.849426000000001</v>
      </c>
      <c r="J219" s="16">
        <v>-86.258278000000004</v>
      </c>
      <c r="K219" s="16" t="s">
        <v>48</v>
      </c>
      <c r="L219" s="18">
        <v>45389</v>
      </c>
      <c r="M219" s="13">
        <f>DATEVALUE(TEXT(L219,"mm/dd/yy"))</f>
        <v>45389</v>
      </c>
      <c r="N219" s="17">
        <f>'Electronic Shop Sales Dataset'!$D219*'Electronic Shop Sales Dataset'!$E219</f>
        <v>195.45000000000002</v>
      </c>
      <c r="O219" s="12" cm="1">
        <f t="array" ref="O219">_xlfn.IFS($K219="Website",$N219*0.05, $K219="Mobile App",$N219*0.05,TRUE,0)</f>
        <v>9.7725000000000009</v>
      </c>
      <c r="P219" s="14" t="str">
        <f>IF(COUNTIF($G$2:G794,G219)&gt;1,"Returning","New")</f>
        <v>New</v>
      </c>
      <c r="Q219" s="24" t="str">
        <f t="shared" si="3"/>
        <v>April</v>
      </c>
      <c r="R219" t="str">
        <v>New Arrival</v>
      </c>
    </row>
    <row r="220" spans="1:18" x14ac:dyDescent="0.25">
      <c r="A220" s="10" t="s">
        <v>16</v>
      </c>
      <c r="B220" s="11" t="str">
        <f>'Electronic Shop Sales Dataset'!$A220&amp;"-"&amp;'Electronic Shop Sales Dataset'!$C220</f>
        <v>P00010-Smart TV</v>
      </c>
      <c r="C220" s="11" t="s">
        <v>74</v>
      </c>
      <c r="D220" s="12">
        <v>411.99</v>
      </c>
      <c r="E220" s="11">
        <v>5</v>
      </c>
      <c r="F220" s="11" t="s">
        <v>13</v>
      </c>
      <c r="G220" s="11" t="s">
        <v>463</v>
      </c>
      <c r="H220" s="11" t="s">
        <v>116</v>
      </c>
      <c r="I220" s="11">
        <v>43.452491999999999</v>
      </c>
      <c r="J220" s="11">
        <v>-71.563896</v>
      </c>
      <c r="K220" s="11" t="s">
        <v>27</v>
      </c>
      <c r="L220" s="13">
        <v>45390</v>
      </c>
      <c r="M220" s="13">
        <f>DATEVALUE(TEXT(L220,"mm/dd/yy"))</f>
        <v>45390</v>
      </c>
      <c r="N220" s="12">
        <f>'Electronic Shop Sales Dataset'!$D220*'Electronic Shop Sales Dataset'!$E220</f>
        <v>2059.9499999999998</v>
      </c>
      <c r="O220" s="12" cm="1">
        <f t="array" ref="O220">_xlfn.IFS($K220="Website",$N220*0.05, $K220="Mobile App",$N220*0.05,TRUE,0)</f>
        <v>0</v>
      </c>
      <c r="P220" s="14" t="str">
        <f>IF(COUNTIF($G$2:G795,G220)&gt;1,"Returning","New")</f>
        <v>New</v>
      </c>
      <c r="Q220" s="24" t="str">
        <f t="shared" si="3"/>
        <v>April</v>
      </c>
      <c r="R220" t="str">
        <v>New Arrival</v>
      </c>
    </row>
    <row r="221" spans="1:18" x14ac:dyDescent="0.25">
      <c r="A221" s="15" t="s">
        <v>31</v>
      </c>
      <c r="B221" s="16" t="str">
        <f>'Electronic Shop Sales Dataset'!$A221&amp;"-"&amp;'Electronic Shop Sales Dataset'!$C221</f>
        <v>P00022-Monitor</v>
      </c>
      <c r="C221" s="16" t="s">
        <v>25</v>
      </c>
      <c r="D221" s="17">
        <v>438.19</v>
      </c>
      <c r="E221" s="16">
        <v>2</v>
      </c>
      <c r="F221" s="16" t="s">
        <v>21</v>
      </c>
      <c r="G221" s="16" t="s">
        <v>464</v>
      </c>
      <c r="H221" s="16" t="s">
        <v>156</v>
      </c>
      <c r="I221" s="16">
        <v>41.125369999999997</v>
      </c>
      <c r="J221" s="16">
        <v>-98.268082000000007</v>
      </c>
      <c r="K221" s="16" t="s">
        <v>23</v>
      </c>
      <c r="L221" s="18">
        <v>45390</v>
      </c>
      <c r="M221" s="13">
        <f>DATEVALUE(TEXT(L221,"mm/dd/yy"))</f>
        <v>45390</v>
      </c>
      <c r="N221" s="17">
        <f>'Electronic Shop Sales Dataset'!$D221*'Electronic Shop Sales Dataset'!$E221</f>
        <v>876.38</v>
      </c>
      <c r="O221" s="12" cm="1">
        <f t="array" ref="O221">_xlfn.IFS($K221="Website",$N221*0.05, $K221="Mobile App",$N221*0.05,TRUE,0)</f>
        <v>0</v>
      </c>
      <c r="P221" s="14" t="str">
        <f>IF(COUNTIF($G$2:G796,G221)&gt;1,"Returning","New")</f>
        <v>New</v>
      </c>
      <c r="Q221" s="24" t="str">
        <f t="shared" si="3"/>
        <v>April</v>
      </c>
      <c r="R221" t="str">
        <v>New Arrival</v>
      </c>
    </row>
    <row r="222" spans="1:18" x14ac:dyDescent="0.25">
      <c r="A222" s="10" t="s">
        <v>90</v>
      </c>
      <c r="B222" s="11" t="str">
        <f>'Electronic Shop Sales Dataset'!$A222&amp;"-"&amp;'Electronic Shop Sales Dataset'!$C222</f>
        <v>P00014-Projector</v>
      </c>
      <c r="C222" s="11" t="s">
        <v>65</v>
      </c>
      <c r="D222" s="12">
        <v>301.37</v>
      </c>
      <c r="E222" s="11">
        <v>1</v>
      </c>
      <c r="F222" s="11" t="s">
        <v>13</v>
      </c>
      <c r="G222" s="11" t="s">
        <v>251</v>
      </c>
      <c r="H222" s="11" t="s">
        <v>94</v>
      </c>
      <c r="I222" s="11">
        <v>41.597782000000002</v>
      </c>
      <c r="J222" s="11">
        <v>-72.755370999999997</v>
      </c>
      <c r="K222" s="11" t="s">
        <v>48</v>
      </c>
      <c r="L222" s="13">
        <v>45391</v>
      </c>
      <c r="M222" s="13">
        <f>DATEVALUE(TEXT(L222,"mm/dd/yy"))</f>
        <v>45391</v>
      </c>
      <c r="N222" s="12">
        <f>'Electronic Shop Sales Dataset'!$D222*'Electronic Shop Sales Dataset'!$E222</f>
        <v>301.37</v>
      </c>
      <c r="O222" s="12" cm="1">
        <f t="array" ref="O222">_xlfn.IFS($K222="Website",$N222*0.05, $K222="Mobile App",$N222*0.05,TRUE,0)</f>
        <v>15.0685</v>
      </c>
      <c r="P222" s="14" t="str">
        <f>IF(COUNTIF($G$2:G797,G222)&gt;1,"Returning","New")</f>
        <v>New</v>
      </c>
      <c r="Q222" s="24" t="str">
        <f t="shared" si="3"/>
        <v>April</v>
      </c>
      <c r="R222" t="str">
        <v>New Arrival</v>
      </c>
    </row>
    <row r="223" spans="1:18" x14ac:dyDescent="0.25">
      <c r="A223" s="15" t="s">
        <v>24</v>
      </c>
      <c r="B223" s="16" t="str">
        <f>'Electronic Shop Sales Dataset'!$A223&amp;"-"&amp;'Electronic Shop Sales Dataset'!$C223</f>
        <v>P00013-Scanner</v>
      </c>
      <c r="C223" s="16" t="s">
        <v>71</v>
      </c>
      <c r="D223" s="17">
        <v>161.66</v>
      </c>
      <c r="E223" s="16">
        <v>5</v>
      </c>
      <c r="F223" s="16" t="s">
        <v>21</v>
      </c>
      <c r="G223" s="16" t="s">
        <v>465</v>
      </c>
      <c r="H223" s="16" t="s">
        <v>67</v>
      </c>
      <c r="I223" s="16">
        <v>46.921925000000002</v>
      </c>
      <c r="J223" s="16">
        <v>-110.454353</v>
      </c>
      <c r="K223" s="16" t="s">
        <v>27</v>
      </c>
      <c r="L223" s="18">
        <v>45392</v>
      </c>
      <c r="M223" s="13">
        <f>DATEVALUE(TEXT(L223,"mm/dd/yy"))</f>
        <v>45392</v>
      </c>
      <c r="N223" s="17">
        <f>'Electronic Shop Sales Dataset'!$D223*'Electronic Shop Sales Dataset'!$E223</f>
        <v>808.3</v>
      </c>
      <c r="O223" s="12" cm="1">
        <f t="array" ref="O223">_xlfn.IFS($K223="Website",$N223*0.05, $K223="Mobile App",$N223*0.05,TRUE,0)</f>
        <v>0</v>
      </c>
      <c r="P223" s="14" t="str">
        <f>IF(COUNTIF($G$2:G798,G223)&gt;1,"Returning","New")</f>
        <v>New</v>
      </c>
      <c r="Q223" s="24" t="str">
        <f t="shared" si="3"/>
        <v>April</v>
      </c>
      <c r="R223" t="str">
        <v>New Arrival</v>
      </c>
    </row>
    <row r="224" spans="1:18" x14ac:dyDescent="0.25">
      <c r="A224" s="10" t="s">
        <v>51</v>
      </c>
      <c r="B224" s="11" t="str">
        <f>'Electronic Shop Sales Dataset'!$A224&amp;"-"&amp;'Electronic Shop Sales Dataset'!$C224</f>
        <v>P00017-Scanner</v>
      </c>
      <c r="C224" s="11" t="s">
        <v>71</v>
      </c>
      <c r="D224" s="12">
        <v>169.43</v>
      </c>
      <c r="E224" s="11">
        <v>3</v>
      </c>
      <c r="F224" s="11" t="s">
        <v>13</v>
      </c>
      <c r="G224" s="11" t="s">
        <v>466</v>
      </c>
      <c r="H224" s="11" t="s">
        <v>87</v>
      </c>
      <c r="I224" s="11">
        <v>33.729759000000001</v>
      </c>
      <c r="J224" s="11">
        <v>-111.43122099999999</v>
      </c>
      <c r="K224" s="11" t="s">
        <v>54</v>
      </c>
      <c r="L224" s="13">
        <v>45392</v>
      </c>
      <c r="M224" s="13">
        <f>DATEVALUE(TEXT(L224,"mm/dd/yy"))</f>
        <v>45392</v>
      </c>
      <c r="N224" s="12">
        <f>'Electronic Shop Sales Dataset'!$D224*'Electronic Shop Sales Dataset'!$E224</f>
        <v>508.29</v>
      </c>
      <c r="O224" s="12" cm="1">
        <f t="array" ref="O224">_xlfn.IFS($K224="Website",$N224*0.05, $K224="Mobile App",$N224*0.05,TRUE,0)</f>
        <v>25.414500000000004</v>
      </c>
      <c r="P224" s="14" t="str">
        <f>IF(COUNTIF($G$2:G799,G224)&gt;1,"Returning","New")</f>
        <v>New</v>
      </c>
      <c r="Q224" s="24" t="str">
        <f t="shared" si="3"/>
        <v>April</v>
      </c>
      <c r="R224" t="str">
        <v>New Arrival</v>
      </c>
    </row>
    <row r="225" spans="1:18" x14ac:dyDescent="0.25">
      <c r="A225" s="15" t="s">
        <v>35</v>
      </c>
      <c r="B225" s="16" t="str">
        <f>'Electronic Shop Sales Dataset'!$A225&amp;"-"&amp;'Electronic Shop Sales Dataset'!$C225</f>
        <v>P00008-Smartphone</v>
      </c>
      <c r="C225" s="16" t="s">
        <v>12</v>
      </c>
      <c r="D225" s="17">
        <v>688.85</v>
      </c>
      <c r="E225" s="16">
        <v>3</v>
      </c>
      <c r="F225" s="16" t="s">
        <v>33</v>
      </c>
      <c r="G225" s="16" t="s">
        <v>467</v>
      </c>
      <c r="H225" s="16" t="s">
        <v>26</v>
      </c>
      <c r="I225" s="16">
        <v>35.747844999999998</v>
      </c>
      <c r="J225" s="16">
        <v>-86.692345000000003</v>
      </c>
      <c r="K225" s="16" t="s">
        <v>54</v>
      </c>
      <c r="L225" s="18">
        <v>45392</v>
      </c>
      <c r="M225" s="13">
        <f>DATEVALUE(TEXT(L225,"mm/dd/yy"))</f>
        <v>45392</v>
      </c>
      <c r="N225" s="17">
        <f>'Electronic Shop Sales Dataset'!$D225*'Electronic Shop Sales Dataset'!$E225</f>
        <v>2066.5500000000002</v>
      </c>
      <c r="O225" s="12" cm="1">
        <f t="array" ref="O225">_xlfn.IFS($K225="Website",$N225*0.05, $K225="Mobile App",$N225*0.05,TRUE,0)</f>
        <v>103.32750000000001</v>
      </c>
      <c r="P225" s="14" t="str">
        <f>IF(COUNTIF($G$2:G800,G225)&gt;1,"Returning","New")</f>
        <v>New</v>
      </c>
      <c r="Q225" s="24" t="str">
        <f t="shared" si="3"/>
        <v>April</v>
      </c>
      <c r="R225" t="str">
        <v>New Arrival</v>
      </c>
    </row>
    <row r="226" spans="1:18" x14ac:dyDescent="0.25">
      <c r="A226" s="10" t="s">
        <v>102</v>
      </c>
      <c r="B226" s="11" t="str">
        <f>'Electronic Shop Sales Dataset'!$A226&amp;"-"&amp;'Electronic Shop Sales Dataset'!$C226</f>
        <v>P00001-Router</v>
      </c>
      <c r="C226" s="11" t="s">
        <v>39</v>
      </c>
      <c r="D226" s="12">
        <v>69.58</v>
      </c>
      <c r="E226" s="11">
        <v>4</v>
      </c>
      <c r="F226" s="11" t="s">
        <v>33</v>
      </c>
      <c r="G226" s="11" t="s">
        <v>468</v>
      </c>
      <c r="H226" s="11" t="s">
        <v>122</v>
      </c>
      <c r="I226" s="11">
        <v>42.755966000000001</v>
      </c>
      <c r="J226" s="11">
        <v>-107.30249000000001</v>
      </c>
      <c r="K226" s="11" t="s">
        <v>48</v>
      </c>
      <c r="L226" s="13">
        <v>45392</v>
      </c>
      <c r="M226" s="13">
        <f>DATEVALUE(TEXT(L226,"mm/dd/yy"))</f>
        <v>45392</v>
      </c>
      <c r="N226" s="12">
        <f>'Electronic Shop Sales Dataset'!$D226*'Electronic Shop Sales Dataset'!$E226</f>
        <v>278.32</v>
      </c>
      <c r="O226" s="12" cm="1">
        <f t="array" ref="O226">_xlfn.IFS($K226="Website",$N226*0.05, $K226="Mobile App",$N226*0.05,TRUE,0)</f>
        <v>13.916</v>
      </c>
      <c r="P226" s="14" t="str">
        <f>IF(COUNTIF($G$2:G801,G226)&gt;1,"Returning","New")</f>
        <v>New</v>
      </c>
      <c r="Q226" s="24" t="str">
        <f t="shared" si="3"/>
        <v>April</v>
      </c>
      <c r="R226" t="str">
        <v>New Arrival</v>
      </c>
    </row>
    <row r="227" spans="1:18" x14ac:dyDescent="0.25">
      <c r="A227" s="15" t="s">
        <v>51</v>
      </c>
      <c r="B227" s="16" t="str">
        <f>'Electronic Shop Sales Dataset'!$A227&amp;"-"&amp;'Electronic Shop Sales Dataset'!$C227</f>
        <v>P00017-Laptop</v>
      </c>
      <c r="C227" s="16" t="s">
        <v>89</v>
      </c>
      <c r="D227" s="17">
        <v>1500.37</v>
      </c>
      <c r="E227" s="16">
        <v>2</v>
      </c>
      <c r="F227" s="16" t="s">
        <v>21</v>
      </c>
      <c r="G227" s="16" t="s">
        <v>469</v>
      </c>
      <c r="H227" s="16" t="s">
        <v>18</v>
      </c>
      <c r="I227" s="16">
        <v>47.528911999999998</v>
      </c>
      <c r="J227" s="16">
        <v>-99.784012000000004</v>
      </c>
      <c r="K227" s="16" t="s">
        <v>15</v>
      </c>
      <c r="L227" s="18">
        <v>45394</v>
      </c>
      <c r="M227" s="13">
        <f>DATEVALUE(TEXT(L227,"mm/dd/yy"))</f>
        <v>45394</v>
      </c>
      <c r="N227" s="17">
        <f>'Electronic Shop Sales Dataset'!$D227*'Electronic Shop Sales Dataset'!$E227</f>
        <v>3000.74</v>
      </c>
      <c r="O227" s="12" cm="1">
        <f t="array" ref="O227">_xlfn.IFS($K227="Website",$N227*0.05, $K227="Mobile App",$N227*0.05,TRUE,0)</f>
        <v>0</v>
      </c>
      <c r="P227" s="14" t="str">
        <f>IF(COUNTIF($G$2:G802,G227)&gt;1,"Returning","New")</f>
        <v>New</v>
      </c>
      <c r="Q227" s="24" t="str">
        <f t="shared" si="3"/>
        <v>April</v>
      </c>
      <c r="R227" t="str">
        <v>Old Stock</v>
      </c>
    </row>
    <row r="228" spans="1:18" x14ac:dyDescent="0.25">
      <c r="A228" s="10" t="s">
        <v>61</v>
      </c>
      <c r="B228" s="11" t="str">
        <f>'Electronic Shop Sales Dataset'!$A228&amp;"-"&amp;'Electronic Shop Sales Dataset'!$C228</f>
        <v>P00002-Smartwatch</v>
      </c>
      <c r="C228" s="11" t="s">
        <v>62</v>
      </c>
      <c r="D228" s="12">
        <v>381.74</v>
      </c>
      <c r="E228" s="11">
        <v>1</v>
      </c>
      <c r="F228" s="11" t="s">
        <v>21</v>
      </c>
      <c r="G228" s="11" t="s">
        <v>470</v>
      </c>
      <c r="H228" s="11" t="s">
        <v>104</v>
      </c>
      <c r="I228" s="11">
        <v>61.370716000000002</v>
      </c>
      <c r="J228" s="11">
        <v>-152.40441899999999</v>
      </c>
      <c r="K228" s="11" t="s">
        <v>23</v>
      </c>
      <c r="L228" s="13">
        <v>45395</v>
      </c>
      <c r="M228" s="13">
        <f>DATEVALUE(TEXT(L228,"mm/dd/yy"))</f>
        <v>45395</v>
      </c>
      <c r="N228" s="12">
        <f>'Electronic Shop Sales Dataset'!$D228*'Electronic Shop Sales Dataset'!$E228</f>
        <v>381.74</v>
      </c>
      <c r="O228" s="12" cm="1">
        <f t="array" ref="O228">_xlfn.IFS($K228="Website",$N228*0.05, $K228="Mobile App",$N228*0.05,TRUE,0)</f>
        <v>0</v>
      </c>
      <c r="P228" s="14" t="str">
        <f>IF(COUNTIF($G$2:G803,G228)&gt;1,"Returning","New")</f>
        <v>New</v>
      </c>
      <c r="Q228" s="24" t="str">
        <f t="shared" si="3"/>
        <v>April</v>
      </c>
      <c r="R228" t="str">
        <v>New Arrival</v>
      </c>
    </row>
    <row r="229" spans="1:18" x14ac:dyDescent="0.25">
      <c r="A229" s="15" t="s">
        <v>58</v>
      </c>
      <c r="B229" s="16" t="str">
        <f>'Electronic Shop Sales Dataset'!$A229&amp;"-"&amp;'Electronic Shop Sales Dataset'!$C229</f>
        <v>P00009-Tablet</v>
      </c>
      <c r="C229" s="16" t="s">
        <v>83</v>
      </c>
      <c r="D229" s="17">
        <v>773.86</v>
      </c>
      <c r="E229" s="16">
        <v>2</v>
      </c>
      <c r="F229" s="16" t="s">
        <v>43</v>
      </c>
      <c r="G229" s="16" t="s">
        <v>471</v>
      </c>
      <c r="H229" s="16" t="s">
        <v>47</v>
      </c>
      <c r="I229" s="16">
        <v>44.045876</v>
      </c>
      <c r="J229" s="16">
        <v>-72.710685999999995</v>
      </c>
      <c r="K229" s="16" t="s">
        <v>54</v>
      </c>
      <c r="L229" s="18">
        <v>45395</v>
      </c>
      <c r="M229" s="13">
        <f>DATEVALUE(TEXT(L229,"mm/dd/yy"))</f>
        <v>45395</v>
      </c>
      <c r="N229" s="17">
        <f>'Electronic Shop Sales Dataset'!$D229*'Electronic Shop Sales Dataset'!$E229</f>
        <v>1547.72</v>
      </c>
      <c r="O229" s="12" cm="1">
        <f t="array" ref="O229">_xlfn.IFS($K229="Website",$N229*0.05, $K229="Mobile App",$N229*0.05,TRUE,0)</f>
        <v>77.38600000000001</v>
      </c>
      <c r="P229" s="14" t="str">
        <f>IF(COUNTIF($G$2:G804,G229)&gt;1,"Returning","New")</f>
        <v>New</v>
      </c>
      <c r="Q229" s="24" t="str">
        <f t="shared" si="3"/>
        <v>April</v>
      </c>
      <c r="R229" t="str">
        <v>New Arrival</v>
      </c>
    </row>
    <row r="230" spans="1:18" x14ac:dyDescent="0.25">
      <c r="A230" s="10" t="s">
        <v>51</v>
      </c>
      <c r="B230" s="11" t="str">
        <f>'Electronic Shop Sales Dataset'!$A230&amp;"-"&amp;'Electronic Shop Sales Dataset'!$C230</f>
        <v>P00017-Drone</v>
      </c>
      <c r="C230" s="11" t="s">
        <v>20</v>
      </c>
      <c r="D230" s="12">
        <v>1849.63</v>
      </c>
      <c r="E230" s="11">
        <v>3</v>
      </c>
      <c r="F230" s="11" t="s">
        <v>43</v>
      </c>
      <c r="G230" s="11" t="s">
        <v>472</v>
      </c>
      <c r="H230" s="11" t="s">
        <v>107</v>
      </c>
      <c r="I230" s="11">
        <v>38.526600000000002</v>
      </c>
      <c r="J230" s="11">
        <v>-96.726485999999994</v>
      </c>
      <c r="K230" s="11" t="s">
        <v>27</v>
      </c>
      <c r="L230" s="13">
        <v>45395</v>
      </c>
      <c r="M230" s="13">
        <f>DATEVALUE(TEXT(L230,"mm/dd/yy"))</f>
        <v>45395</v>
      </c>
      <c r="N230" s="12">
        <f>'Electronic Shop Sales Dataset'!$D230*'Electronic Shop Sales Dataset'!$E230</f>
        <v>5548.89</v>
      </c>
      <c r="O230" s="12" cm="1">
        <f t="array" ref="O230">_xlfn.IFS($K230="Website",$N230*0.05, $K230="Mobile App",$N230*0.05,TRUE,0)</f>
        <v>0</v>
      </c>
      <c r="P230" s="14" t="str">
        <f>IF(COUNTIF($G$2:G805,G230)&gt;1,"Returning","New")</f>
        <v>New</v>
      </c>
      <c r="Q230" s="24" t="str">
        <f t="shared" si="3"/>
        <v>April</v>
      </c>
      <c r="R230" t="str">
        <v>New Arrival</v>
      </c>
    </row>
    <row r="231" spans="1:18" x14ac:dyDescent="0.25">
      <c r="A231" s="15" t="s">
        <v>61</v>
      </c>
      <c r="B231" s="16" t="str">
        <f>'Electronic Shop Sales Dataset'!$A231&amp;"-"&amp;'Electronic Shop Sales Dataset'!$C231</f>
        <v>P00002-Printer</v>
      </c>
      <c r="C231" s="16" t="s">
        <v>52</v>
      </c>
      <c r="D231" s="17">
        <v>393.8</v>
      </c>
      <c r="E231" s="16">
        <v>2</v>
      </c>
      <c r="F231" s="16" t="s">
        <v>21</v>
      </c>
      <c r="G231" s="16" t="s">
        <v>473</v>
      </c>
      <c r="H231" s="16" t="s">
        <v>113</v>
      </c>
      <c r="I231" s="16">
        <v>34.969704</v>
      </c>
      <c r="J231" s="16">
        <v>-92.373123000000007</v>
      </c>
      <c r="K231" s="16" t="s">
        <v>15</v>
      </c>
      <c r="L231" s="18">
        <v>45396</v>
      </c>
      <c r="M231" s="13">
        <f>DATEVALUE(TEXT(L231,"mm/dd/yy"))</f>
        <v>45396</v>
      </c>
      <c r="N231" s="17">
        <f>'Electronic Shop Sales Dataset'!$D231*'Electronic Shop Sales Dataset'!$E231</f>
        <v>787.6</v>
      </c>
      <c r="O231" s="12" cm="1">
        <f t="array" ref="O231">_xlfn.IFS($K231="Website",$N231*0.05, $K231="Mobile App",$N231*0.05,TRUE,0)</f>
        <v>0</v>
      </c>
      <c r="P231" s="14" t="str">
        <f>IF(COUNTIF($G$2:G806,G231)&gt;1,"Returning","New")</f>
        <v>New</v>
      </c>
      <c r="Q231" s="24" t="str">
        <f t="shared" si="3"/>
        <v>April</v>
      </c>
      <c r="R231" t="str">
        <v>New Arrival</v>
      </c>
    </row>
    <row r="232" spans="1:18" x14ac:dyDescent="0.25">
      <c r="A232" s="10" t="s">
        <v>19</v>
      </c>
      <c r="B232" s="11" t="str">
        <f>'Electronic Shop Sales Dataset'!$A232&amp;"-"&amp;'Electronic Shop Sales Dataset'!$C232</f>
        <v>P00003-Gaming Console</v>
      </c>
      <c r="C232" s="11" t="s">
        <v>17</v>
      </c>
      <c r="D232" s="12">
        <v>403.22</v>
      </c>
      <c r="E232" s="11">
        <v>2</v>
      </c>
      <c r="F232" s="11" t="s">
        <v>43</v>
      </c>
      <c r="G232" s="11" t="s">
        <v>474</v>
      </c>
      <c r="H232" s="11" t="s">
        <v>50</v>
      </c>
      <c r="I232" s="11">
        <v>47.400902000000002</v>
      </c>
      <c r="J232" s="11">
        <v>-121.490494</v>
      </c>
      <c r="K232" s="11" t="s">
        <v>23</v>
      </c>
      <c r="L232" s="13">
        <v>45397</v>
      </c>
      <c r="M232" s="13">
        <f>DATEVALUE(TEXT(L232,"mm/dd/yy"))</f>
        <v>45397</v>
      </c>
      <c r="N232" s="12">
        <f>'Electronic Shop Sales Dataset'!$D232*'Electronic Shop Sales Dataset'!$E232</f>
        <v>806.44</v>
      </c>
      <c r="O232" s="12" cm="1">
        <f t="array" ref="O232">_xlfn.IFS($K232="Website",$N232*0.05, $K232="Mobile App",$N232*0.05,TRUE,0)</f>
        <v>0</v>
      </c>
      <c r="P232" s="14" t="str">
        <f>IF(COUNTIF($G$2:G807,G232)&gt;1,"Returning","New")</f>
        <v>New</v>
      </c>
      <c r="Q232" s="24" t="str">
        <f t="shared" si="3"/>
        <v>April</v>
      </c>
      <c r="R232" t="str">
        <v>New Arrival</v>
      </c>
    </row>
    <row r="233" spans="1:18" x14ac:dyDescent="0.25">
      <c r="A233" s="15" t="s">
        <v>64</v>
      </c>
      <c r="B233" s="16" t="str">
        <f>'Electronic Shop Sales Dataset'!$A233&amp;"-"&amp;'Electronic Shop Sales Dataset'!$C233</f>
        <v>P00011-Smart TV</v>
      </c>
      <c r="C233" s="16" t="s">
        <v>74</v>
      </c>
      <c r="D233" s="17">
        <v>1080.52</v>
      </c>
      <c r="E233" s="16">
        <v>2</v>
      </c>
      <c r="F233" s="16" t="s">
        <v>33</v>
      </c>
      <c r="G233" s="16" t="s">
        <v>475</v>
      </c>
      <c r="H233" s="16" t="s">
        <v>122</v>
      </c>
      <c r="I233" s="16">
        <v>42.755966000000001</v>
      </c>
      <c r="J233" s="16">
        <v>-107.30249000000001</v>
      </c>
      <c r="K233" s="16" t="s">
        <v>23</v>
      </c>
      <c r="L233" s="18">
        <v>45399</v>
      </c>
      <c r="M233" s="13">
        <f>DATEVALUE(TEXT(L233,"mm/dd/yy"))</f>
        <v>45399</v>
      </c>
      <c r="N233" s="17">
        <f>'Electronic Shop Sales Dataset'!$D233*'Electronic Shop Sales Dataset'!$E233</f>
        <v>2161.04</v>
      </c>
      <c r="O233" s="12" cm="1">
        <f t="array" ref="O233">_xlfn.IFS($K233="Website",$N233*0.05, $K233="Mobile App",$N233*0.05,TRUE,0)</f>
        <v>0</v>
      </c>
      <c r="P233" s="14" t="str">
        <f>IF(COUNTIF($G$2:G808,G233)&gt;1,"Returning","New")</f>
        <v>New</v>
      </c>
      <c r="Q233" s="24" t="str">
        <f t="shared" si="3"/>
        <v>April</v>
      </c>
      <c r="R233" t="str">
        <v>New Arrival</v>
      </c>
    </row>
    <row r="234" spans="1:18" x14ac:dyDescent="0.25">
      <c r="A234" s="10" t="s">
        <v>90</v>
      </c>
      <c r="B234" s="11" t="str">
        <f>'Electronic Shop Sales Dataset'!$A234&amp;"-"&amp;'Electronic Shop Sales Dataset'!$C234</f>
        <v>P00014-Smartphone</v>
      </c>
      <c r="C234" s="11" t="s">
        <v>12</v>
      </c>
      <c r="D234" s="12">
        <v>771.65</v>
      </c>
      <c r="E234" s="11">
        <v>5</v>
      </c>
      <c r="F234" s="11" t="s">
        <v>33</v>
      </c>
      <c r="G234" s="11" t="s">
        <v>476</v>
      </c>
      <c r="H234" s="11" t="s">
        <v>47</v>
      </c>
      <c r="I234" s="11">
        <v>44.045876</v>
      </c>
      <c r="J234" s="11">
        <v>-72.710685999999995</v>
      </c>
      <c r="K234" s="11" t="s">
        <v>27</v>
      </c>
      <c r="L234" s="13">
        <v>45399</v>
      </c>
      <c r="M234" s="13">
        <f>DATEVALUE(TEXT(L234,"mm/dd/yy"))</f>
        <v>45399</v>
      </c>
      <c r="N234" s="12">
        <f>'Electronic Shop Sales Dataset'!$D234*'Electronic Shop Sales Dataset'!$E234</f>
        <v>3858.25</v>
      </c>
      <c r="O234" s="12" cm="1">
        <f t="array" ref="O234">_xlfn.IFS($K234="Website",$N234*0.05, $K234="Mobile App",$N234*0.05,TRUE,0)</f>
        <v>0</v>
      </c>
      <c r="P234" s="14" t="str">
        <f>IF(COUNTIF($G$2:G809,G234)&gt;1,"Returning","New")</f>
        <v>New</v>
      </c>
      <c r="Q234" s="24" t="str">
        <f t="shared" si="3"/>
        <v>April</v>
      </c>
      <c r="R234" t="str">
        <v>New Arrival</v>
      </c>
    </row>
    <row r="235" spans="1:18" x14ac:dyDescent="0.25">
      <c r="A235" s="15" t="s">
        <v>61</v>
      </c>
      <c r="B235" s="16" t="str">
        <f>'Electronic Shop Sales Dataset'!$A235&amp;"-"&amp;'Electronic Shop Sales Dataset'!$C235</f>
        <v>P00002-Speaker</v>
      </c>
      <c r="C235" s="16" t="s">
        <v>106</v>
      </c>
      <c r="D235" s="17">
        <v>113.19</v>
      </c>
      <c r="E235" s="16">
        <v>3</v>
      </c>
      <c r="F235" s="16" t="s">
        <v>13</v>
      </c>
      <c r="G235" s="16" t="s">
        <v>477</v>
      </c>
      <c r="H235" s="16" t="s">
        <v>67</v>
      </c>
      <c r="I235" s="16">
        <v>46.921925000000002</v>
      </c>
      <c r="J235" s="16">
        <v>-110.454353</v>
      </c>
      <c r="K235" s="16" t="s">
        <v>23</v>
      </c>
      <c r="L235" s="18">
        <v>45400</v>
      </c>
      <c r="M235" s="13">
        <f>DATEVALUE(TEXT(L235,"mm/dd/yy"))</f>
        <v>45400</v>
      </c>
      <c r="N235" s="17">
        <f>'Electronic Shop Sales Dataset'!$D235*'Electronic Shop Sales Dataset'!$E235</f>
        <v>339.57</v>
      </c>
      <c r="O235" s="12" cm="1">
        <f t="array" ref="O235">_xlfn.IFS($K235="Website",$N235*0.05, $K235="Mobile App",$N235*0.05,TRUE,0)</f>
        <v>0</v>
      </c>
      <c r="P235" s="14" t="str">
        <f>IF(COUNTIF($G$2:G810,G235)&gt;1,"Returning","New")</f>
        <v>New</v>
      </c>
      <c r="Q235" s="24" t="str">
        <f t="shared" si="3"/>
        <v>April</v>
      </c>
      <c r="R235" t="str">
        <v>New Arrival</v>
      </c>
    </row>
    <row r="236" spans="1:18" x14ac:dyDescent="0.25">
      <c r="A236" s="10" t="s">
        <v>84</v>
      </c>
      <c r="B236" s="11" t="str">
        <f>'Electronic Shop Sales Dataset'!$A236&amp;"-"&amp;'Electronic Shop Sales Dataset'!$C236</f>
        <v>P00020-Drone</v>
      </c>
      <c r="C236" s="11" t="s">
        <v>20</v>
      </c>
      <c r="D236" s="12">
        <v>1537.96</v>
      </c>
      <c r="E236" s="11">
        <v>1</v>
      </c>
      <c r="F236" s="11" t="s">
        <v>43</v>
      </c>
      <c r="G236" s="11" t="s">
        <v>478</v>
      </c>
      <c r="H236" s="11" t="s">
        <v>132</v>
      </c>
      <c r="I236" s="11">
        <v>27.766279000000001</v>
      </c>
      <c r="J236" s="11">
        <v>-81.686783000000005</v>
      </c>
      <c r="K236" s="11" t="s">
        <v>54</v>
      </c>
      <c r="L236" s="13">
        <v>45402</v>
      </c>
      <c r="M236" s="13">
        <f>DATEVALUE(TEXT(L236,"mm/dd/yy"))</f>
        <v>45402</v>
      </c>
      <c r="N236" s="12">
        <f>'Electronic Shop Sales Dataset'!$D236*'Electronic Shop Sales Dataset'!$E236</f>
        <v>1537.96</v>
      </c>
      <c r="O236" s="12" cm="1">
        <f t="array" ref="O236">_xlfn.IFS($K236="Website",$N236*0.05, $K236="Mobile App",$N236*0.05,TRUE,0)</f>
        <v>76.89800000000001</v>
      </c>
      <c r="P236" s="14" t="str">
        <f>IF(COUNTIF($G$2:G811,G236)&gt;1,"Returning","New")</f>
        <v>New</v>
      </c>
      <c r="Q236" s="24" t="str">
        <f t="shared" si="3"/>
        <v>April</v>
      </c>
      <c r="R236" t="str">
        <v>New Arrival</v>
      </c>
    </row>
    <row r="237" spans="1:18" x14ac:dyDescent="0.25">
      <c r="A237" s="15" t="s">
        <v>49</v>
      </c>
      <c r="B237" s="16" t="str">
        <f>'Electronic Shop Sales Dataset'!$A237&amp;"-"&amp;'Electronic Shop Sales Dataset'!$C237</f>
        <v>P00023-Laptop</v>
      </c>
      <c r="C237" s="16" t="s">
        <v>89</v>
      </c>
      <c r="D237" s="17">
        <v>1855</v>
      </c>
      <c r="E237" s="16">
        <v>3</v>
      </c>
      <c r="F237" s="16" t="s">
        <v>43</v>
      </c>
      <c r="G237" s="16" t="s">
        <v>479</v>
      </c>
      <c r="H237" s="16" t="s">
        <v>112</v>
      </c>
      <c r="I237" s="16">
        <v>39.063946000000001</v>
      </c>
      <c r="J237" s="16">
        <v>-76.802100999999993</v>
      </c>
      <c r="K237" s="16" t="s">
        <v>48</v>
      </c>
      <c r="L237" s="18">
        <v>45403</v>
      </c>
      <c r="M237" s="13">
        <f>DATEVALUE(TEXT(L237,"mm/dd/yy"))</f>
        <v>45403</v>
      </c>
      <c r="N237" s="17">
        <f>'Electronic Shop Sales Dataset'!$D237*'Electronic Shop Sales Dataset'!$E237</f>
        <v>5565</v>
      </c>
      <c r="O237" s="12" cm="1">
        <f t="array" ref="O237">_xlfn.IFS($K237="Website",$N237*0.05, $K237="Mobile App",$N237*0.05,TRUE,0)</f>
        <v>278.25</v>
      </c>
      <c r="P237" s="14" t="str">
        <f>IF(COUNTIF($G$2:G812,G237)&gt;1,"Returning","New")</f>
        <v>New</v>
      </c>
      <c r="Q237" s="24" t="str">
        <f t="shared" si="3"/>
        <v>April</v>
      </c>
      <c r="R237" t="str">
        <v>Old Stock</v>
      </c>
    </row>
    <row r="238" spans="1:18" x14ac:dyDescent="0.25">
      <c r="A238" s="10" t="s">
        <v>49</v>
      </c>
      <c r="B238" s="11" t="str">
        <f>'Electronic Shop Sales Dataset'!$A238&amp;"-"&amp;'Electronic Shop Sales Dataset'!$C238</f>
        <v>P00023-Smart Home Hub</v>
      </c>
      <c r="C238" s="11" t="s">
        <v>42</v>
      </c>
      <c r="D238" s="12">
        <v>304.56</v>
      </c>
      <c r="E238" s="11">
        <v>2</v>
      </c>
      <c r="F238" s="11" t="s">
        <v>21</v>
      </c>
      <c r="G238" s="11" t="s">
        <v>480</v>
      </c>
      <c r="H238" s="11" t="s">
        <v>115</v>
      </c>
      <c r="I238" s="11">
        <v>38.456085000000002</v>
      </c>
      <c r="J238" s="11">
        <v>-92.288368000000006</v>
      </c>
      <c r="K238" s="11" t="s">
        <v>23</v>
      </c>
      <c r="L238" s="13">
        <v>45404</v>
      </c>
      <c r="M238" s="13">
        <f>DATEVALUE(TEXT(L238,"mm/dd/yy"))</f>
        <v>45404</v>
      </c>
      <c r="N238" s="12">
        <f>'Electronic Shop Sales Dataset'!$D238*'Electronic Shop Sales Dataset'!$E238</f>
        <v>609.12</v>
      </c>
      <c r="O238" s="12" cm="1">
        <f t="array" ref="O238">_xlfn.IFS($K238="Website",$N238*0.05, $K238="Mobile App",$N238*0.05,TRUE,0)</f>
        <v>0</v>
      </c>
      <c r="P238" s="14" t="str">
        <f>IF(COUNTIF($G$2:G813,G238)&gt;1,"Returning","New")</f>
        <v>New</v>
      </c>
      <c r="Q238" s="24" t="str">
        <f t="shared" si="3"/>
        <v>April</v>
      </c>
      <c r="R238" t="str">
        <v>New Arrival</v>
      </c>
    </row>
    <row r="239" spans="1:18" x14ac:dyDescent="0.25">
      <c r="A239" s="15" t="s">
        <v>16</v>
      </c>
      <c r="B239" s="16" t="str">
        <f>'Electronic Shop Sales Dataset'!$A239&amp;"-"&amp;'Electronic Shop Sales Dataset'!$C239</f>
        <v>P00010-Laptop</v>
      </c>
      <c r="C239" s="16" t="s">
        <v>89</v>
      </c>
      <c r="D239" s="17">
        <v>832.18</v>
      </c>
      <c r="E239" s="16">
        <v>5</v>
      </c>
      <c r="F239" s="16" t="s">
        <v>43</v>
      </c>
      <c r="G239" s="16" t="s">
        <v>481</v>
      </c>
      <c r="H239" s="16" t="s">
        <v>26</v>
      </c>
      <c r="I239" s="16">
        <v>35.747844999999998</v>
      </c>
      <c r="J239" s="16">
        <v>-86.692345000000003</v>
      </c>
      <c r="K239" s="16" t="s">
        <v>27</v>
      </c>
      <c r="L239" s="18">
        <v>45404</v>
      </c>
      <c r="M239" s="13">
        <f>DATEVALUE(TEXT(L239,"mm/dd/yy"))</f>
        <v>45404</v>
      </c>
      <c r="N239" s="17">
        <f>'Electronic Shop Sales Dataset'!$D239*'Electronic Shop Sales Dataset'!$E239</f>
        <v>4160.8999999999996</v>
      </c>
      <c r="O239" s="12" cm="1">
        <f t="array" ref="O239">_xlfn.IFS($K239="Website",$N239*0.05, $K239="Mobile App",$N239*0.05,TRUE,0)</f>
        <v>0</v>
      </c>
      <c r="P239" s="14" t="str">
        <f>IF(COUNTIF($G$2:G814,G239)&gt;1,"Returning","New")</f>
        <v>New</v>
      </c>
      <c r="Q239" s="24" t="str">
        <f t="shared" si="3"/>
        <v>April</v>
      </c>
      <c r="R239" t="str">
        <v>Old Stock</v>
      </c>
    </row>
    <row r="240" spans="1:18" x14ac:dyDescent="0.25">
      <c r="A240" s="10" t="s">
        <v>69</v>
      </c>
      <c r="B240" s="11" t="str">
        <f>'Electronic Shop Sales Dataset'!$A240&amp;"-"&amp;'Electronic Shop Sales Dataset'!$C240</f>
        <v>P00005-Camera</v>
      </c>
      <c r="C240" s="11" t="s">
        <v>46</v>
      </c>
      <c r="D240" s="12">
        <v>1391.9</v>
      </c>
      <c r="E240" s="11">
        <v>5</v>
      </c>
      <c r="F240" s="11" t="s">
        <v>43</v>
      </c>
      <c r="G240" s="11" t="s">
        <v>482</v>
      </c>
      <c r="H240" s="11" t="s">
        <v>132</v>
      </c>
      <c r="I240" s="11">
        <v>27.766279000000001</v>
      </c>
      <c r="J240" s="11">
        <v>-81.686783000000005</v>
      </c>
      <c r="K240" s="11" t="s">
        <v>54</v>
      </c>
      <c r="L240" s="13">
        <v>45404</v>
      </c>
      <c r="M240" s="13">
        <f>DATEVALUE(TEXT(L240,"mm/dd/yy"))</f>
        <v>45404</v>
      </c>
      <c r="N240" s="12">
        <f>'Electronic Shop Sales Dataset'!$D240*'Electronic Shop Sales Dataset'!$E240</f>
        <v>6959.5</v>
      </c>
      <c r="O240" s="12" cm="1">
        <f t="array" ref="O240">_xlfn.IFS($K240="Website",$N240*0.05, $K240="Mobile App",$N240*0.05,TRUE,0)</f>
        <v>347.97500000000002</v>
      </c>
      <c r="P240" s="14" t="str">
        <f>IF(COUNTIF($G$2:G815,G240)&gt;1,"Returning","New")</f>
        <v>New</v>
      </c>
      <c r="Q240" s="24" t="str">
        <f t="shared" si="3"/>
        <v>April</v>
      </c>
      <c r="R240" t="str">
        <v>New Arrival</v>
      </c>
    </row>
    <row r="241" spans="1:18" x14ac:dyDescent="0.25">
      <c r="A241" s="15" t="s">
        <v>117</v>
      </c>
      <c r="B241" s="16" t="str">
        <f>'Electronic Shop Sales Dataset'!$A241&amp;"-"&amp;'Electronic Shop Sales Dataset'!$C241</f>
        <v>P00016-Laptop</v>
      </c>
      <c r="C241" s="16" t="s">
        <v>89</v>
      </c>
      <c r="D241" s="17">
        <v>1393.29</v>
      </c>
      <c r="E241" s="16">
        <v>5</v>
      </c>
      <c r="F241" s="16" t="s">
        <v>13</v>
      </c>
      <c r="G241" s="16" t="s">
        <v>483</v>
      </c>
      <c r="H241" s="16" t="s">
        <v>82</v>
      </c>
      <c r="I241" s="16">
        <v>44.268543000000001</v>
      </c>
      <c r="J241" s="16">
        <v>-89.616507999999996</v>
      </c>
      <c r="K241" s="16" t="s">
        <v>54</v>
      </c>
      <c r="L241" s="18">
        <v>45405</v>
      </c>
      <c r="M241" s="13">
        <f>DATEVALUE(TEXT(L241,"mm/dd/yy"))</f>
        <v>45405</v>
      </c>
      <c r="N241" s="17">
        <f>'Electronic Shop Sales Dataset'!$D241*'Electronic Shop Sales Dataset'!$E241</f>
        <v>6966.45</v>
      </c>
      <c r="O241" s="12" cm="1">
        <f t="array" ref="O241">_xlfn.IFS($K241="Website",$N241*0.05, $K241="Mobile App",$N241*0.05,TRUE,0)</f>
        <v>348.32249999999999</v>
      </c>
      <c r="P241" s="14" t="str">
        <f>IF(COUNTIF($G$2:G816,G241)&gt;1,"Returning","New")</f>
        <v>New</v>
      </c>
      <c r="Q241" s="24" t="str">
        <f t="shared" si="3"/>
        <v>April</v>
      </c>
      <c r="R241" t="str">
        <v>Old Stock</v>
      </c>
    </row>
    <row r="242" spans="1:18" x14ac:dyDescent="0.25">
      <c r="A242" s="10" t="s">
        <v>24</v>
      </c>
      <c r="B242" s="11" t="str">
        <f>'Electronic Shop Sales Dataset'!$A242&amp;"-"&amp;'Electronic Shop Sales Dataset'!$C242</f>
        <v>P00013-Laptop</v>
      </c>
      <c r="C242" s="11" t="s">
        <v>89</v>
      </c>
      <c r="D242" s="12">
        <v>1324.14</v>
      </c>
      <c r="E242" s="11">
        <v>5</v>
      </c>
      <c r="F242" s="11" t="s">
        <v>43</v>
      </c>
      <c r="G242" s="11" t="s">
        <v>484</v>
      </c>
      <c r="H242" s="11" t="s">
        <v>99</v>
      </c>
      <c r="I242" s="11">
        <v>37.668140000000001</v>
      </c>
      <c r="J242" s="11">
        <v>-84.670067000000003</v>
      </c>
      <c r="K242" s="11" t="s">
        <v>48</v>
      </c>
      <c r="L242" s="13">
        <v>45406</v>
      </c>
      <c r="M242" s="13">
        <f>DATEVALUE(TEXT(L242,"mm/dd/yy"))</f>
        <v>45406</v>
      </c>
      <c r="N242" s="12">
        <f>'Electronic Shop Sales Dataset'!$D242*'Electronic Shop Sales Dataset'!$E242</f>
        <v>6620.7000000000007</v>
      </c>
      <c r="O242" s="12" cm="1">
        <f t="array" ref="O242">_xlfn.IFS($K242="Website",$N242*0.05, $K242="Mobile App",$N242*0.05,TRUE,0)</f>
        <v>331.03500000000008</v>
      </c>
      <c r="P242" s="14" t="str">
        <f>IF(COUNTIF($G$2:G817,G242)&gt;1,"Returning","New")</f>
        <v>New</v>
      </c>
      <c r="Q242" s="24" t="str">
        <f t="shared" si="3"/>
        <v>April</v>
      </c>
      <c r="R242" t="str">
        <v>Old Stock</v>
      </c>
    </row>
    <row r="243" spans="1:18" x14ac:dyDescent="0.25">
      <c r="A243" s="15" t="s">
        <v>49</v>
      </c>
      <c r="B243" s="16" t="str">
        <f>'Electronic Shop Sales Dataset'!$A243&amp;"-"&amp;'Electronic Shop Sales Dataset'!$C243</f>
        <v>P00023-Printer</v>
      </c>
      <c r="C243" s="16" t="s">
        <v>52</v>
      </c>
      <c r="D243" s="17">
        <v>421.6</v>
      </c>
      <c r="E243" s="16">
        <v>1</v>
      </c>
      <c r="F243" s="16" t="s">
        <v>33</v>
      </c>
      <c r="G243" s="16" t="s">
        <v>485</v>
      </c>
      <c r="H243" s="16" t="s">
        <v>75</v>
      </c>
      <c r="I243" s="16">
        <v>39.059811000000003</v>
      </c>
      <c r="J243" s="16">
        <v>-105.311104</v>
      </c>
      <c r="K243" s="16" t="s">
        <v>15</v>
      </c>
      <c r="L243" s="18">
        <v>45406</v>
      </c>
      <c r="M243" s="13">
        <f>DATEVALUE(TEXT(L243,"mm/dd/yy"))</f>
        <v>45406</v>
      </c>
      <c r="N243" s="17">
        <f>'Electronic Shop Sales Dataset'!$D243*'Electronic Shop Sales Dataset'!$E243</f>
        <v>421.6</v>
      </c>
      <c r="O243" s="12" cm="1">
        <f t="array" ref="O243">_xlfn.IFS($K243="Website",$N243*0.05, $K243="Mobile App",$N243*0.05,TRUE,0)</f>
        <v>0</v>
      </c>
      <c r="P243" s="14" t="str">
        <f>IF(COUNTIF($G$2:G818,G243)&gt;1,"Returning","New")</f>
        <v>New</v>
      </c>
      <c r="Q243" s="24" t="str">
        <f t="shared" si="3"/>
        <v>April</v>
      </c>
      <c r="R243" t="str">
        <v>New Arrival</v>
      </c>
    </row>
    <row r="244" spans="1:18" x14ac:dyDescent="0.25">
      <c r="A244" s="10" t="s">
        <v>31</v>
      </c>
      <c r="B244" s="11" t="str">
        <f>'Electronic Shop Sales Dataset'!$A244&amp;"-"&amp;'Electronic Shop Sales Dataset'!$C244</f>
        <v>P00022-VR Headset</v>
      </c>
      <c r="C244" s="11" t="s">
        <v>72</v>
      </c>
      <c r="D244" s="12">
        <v>257.83</v>
      </c>
      <c r="E244" s="11">
        <v>5</v>
      </c>
      <c r="F244" s="11" t="s">
        <v>13</v>
      </c>
      <c r="G244" s="11" t="s">
        <v>486</v>
      </c>
      <c r="H244" s="11" t="s">
        <v>116</v>
      </c>
      <c r="I244" s="11">
        <v>43.452491999999999</v>
      </c>
      <c r="J244" s="11">
        <v>-71.563896</v>
      </c>
      <c r="K244" s="11" t="s">
        <v>48</v>
      </c>
      <c r="L244" s="13">
        <v>45407</v>
      </c>
      <c r="M244" s="13">
        <f>DATEVALUE(TEXT(L244,"mm/dd/yy"))</f>
        <v>45407</v>
      </c>
      <c r="N244" s="12">
        <f>'Electronic Shop Sales Dataset'!$D244*'Electronic Shop Sales Dataset'!$E244</f>
        <v>1289.1499999999999</v>
      </c>
      <c r="O244" s="12" cm="1">
        <f t="array" ref="O244">_xlfn.IFS($K244="Website",$N244*0.05, $K244="Mobile App",$N244*0.05,TRUE,0)</f>
        <v>64.457499999999996</v>
      </c>
      <c r="P244" s="14" t="str">
        <f>IF(COUNTIF($G$2:G819,G244)&gt;1,"Returning","New")</f>
        <v>New</v>
      </c>
      <c r="Q244" s="24" t="str">
        <f t="shared" si="3"/>
        <v>April</v>
      </c>
      <c r="R244" t="str">
        <v>New Arrival</v>
      </c>
    </row>
    <row r="245" spans="1:18" x14ac:dyDescent="0.25">
      <c r="A245" s="15" t="s">
        <v>51</v>
      </c>
      <c r="B245" s="16" t="str">
        <f>'Electronic Shop Sales Dataset'!$A245&amp;"-"&amp;'Electronic Shop Sales Dataset'!$C245</f>
        <v>P00017-Gaming Console</v>
      </c>
      <c r="C245" s="16" t="s">
        <v>17</v>
      </c>
      <c r="D245" s="17">
        <v>374.48</v>
      </c>
      <c r="E245" s="16">
        <v>3</v>
      </c>
      <c r="F245" s="16" t="s">
        <v>43</v>
      </c>
      <c r="G245" s="16" t="s">
        <v>487</v>
      </c>
      <c r="H245" s="16" t="s">
        <v>40</v>
      </c>
      <c r="I245" s="16">
        <v>44.572020999999999</v>
      </c>
      <c r="J245" s="16">
        <v>-122.070938</v>
      </c>
      <c r="K245" s="16" t="s">
        <v>27</v>
      </c>
      <c r="L245" s="18">
        <v>45408</v>
      </c>
      <c r="M245" s="13">
        <f>DATEVALUE(TEXT(L245,"mm/dd/yy"))</f>
        <v>45408</v>
      </c>
      <c r="N245" s="17">
        <f>'Electronic Shop Sales Dataset'!$D245*'Electronic Shop Sales Dataset'!$E245</f>
        <v>1123.44</v>
      </c>
      <c r="O245" s="12" cm="1">
        <f t="array" ref="O245">_xlfn.IFS($K245="Website",$N245*0.05, $K245="Mobile App",$N245*0.05,TRUE,0)</f>
        <v>0</v>
      </c>
      <c r="P245" s="14" t="str">
        <f>IF(COUNTIF($G$2:G820,G245)&gt;1,"Returning","New")</f>
        <v>New</v>
      </c>
      <c r="Q245" s="24" t="str">
        <f t="shared" si="3"/>
        <v>April</v>
      </c>
      <c r="R245" t="str">
        <v>New Arrival</v>
      </c>
    </row>
    <row r="246" spans="1:18" x14ac:dyDescent="0.25">
      <c r="A246" s="10" t="s">
        <v>69</v>
      </c>
      <c r="B246" s="11" t="str">
        <f>'Electronic Shop Sales Dataset'!$A246&amp;"-"&amp;'Electronic Shop Sales Dataset'!$C246</f>
        <v>P00005-Mouse</v>
      </c>
      <c r="C246" s="11" t="s">
        <v>95</v>
      </c>
      <c r="D246" s="12">
        <v>69.760000000000005</v>
      </c>
      <c r="E246" s="11">
        <v>1</v>
      </c>
      <c r="F246" s="11" t="s">
        <v>43</v>
      </c>
      <c r="G246" s="11" t="s">
        <v>253</v>
      </c>
      <c r="H246" s="11" t="s">
        <v>47</v>
      </c>
      <c r="I246" s="11">
        <v>44.045876</v>
      </c>
      <c r="J246" s="11">
        <v>-72.710685999999995</v>
      </c>
      <c r="K246" s="11" t="s">
        <v>15</v>
      </c>
      <c r="L246" s="13">
        <v>45409</v>
      </c>
      <c r="M246" s="13">
        <f>DATEVALUE(TEXT(L246,"mm/dd/yy"))</f>
        <v>45409</v>
      </c>
      <c r="N246" s="12">
        <f>'Electronic Shop Sales Dataset'!$D246*'Electronic Shop Sales Dataset'!$E246</f>
        <v>69.760000000000005</v>
      </c>
      <c r="O246" s="12" cm="1">
        <f t="array" ref="O246">_xlfn.IFS($K246="Website",$N246*0.05, $K246="Mobile App",$N246*0.05,TRUE,0)</f>
        <v>0</v>
      </c>
      <c r="P246" s="14" t="str">
        <f>IF(COUNTIF($G$2:G821,G246)&gt;1,"Returning","New")</f>
        <v>New</v>
      </c>
      <c r="Q246" s="24" t="str">
        <f t="shared" si="3"/>
        <v>April</v>
      </c>
      <c r="R246" t="str">
        <v>New Arrival</v>
      </c>
    </row>
    <row r="247" spans="1:18" x14ac:dyDescent="0.25">
      <c r="A247" s="15" t="s">
        <v>31</v>
      </c>
      <c r="B247" s="16" t="str">
        <f>'Electronic Shop Sales Dataset'!$A247&amp;"-"&amp;'Electronic Shop Sales Dataset'!$C247</f>
        <v>P00022-Mouse</v>
      </c>
      <c r="C247" s="16" t="s">
        <v>95</v>
      </c>
      <c r="D247" s="17">
        <v>13.17</v>
      </c>
      <c r="E247" s="16">
        <v>2</v>
      </c>
      <c r="F247" s="16" t="s">
        <v>33</v>
      </c>
      <c r="G247" s="16" t="s">
        <v>56</v>
      </c>
      <c r="H247" s="16" t="s">
        <v>107</v>
      </c>
      <c r="I247" s="16">
        <v>38.526600000000002</v>
      </c>
      <c r="J247" s="16">
        <v>-96.726485999999994</v>
      </c>
      <c r="K247" s="16" t="s">
        <v>48</v>
      </c>
      <c r="L247" s="18">
        <v>45411</v>
      </c>
      <c r="M247" s="13">
        <f>DATEVALUE(TEXT(L247,"mm/dd/yy"))</f>
        <v>45411</v>
      </c>
      <c r="N247" s="17">
        <f>'Electronic Shop Sales Dataset'!$D247*'Electronic Shop Sales Dataset'!$E247</f>
        <v>26.34</v>
      </c>
      <c r="O247" s="12" cm="1">
        <f t="array" ref="O247">_xlfn.IFS($K247="Website",$N247*0.05, $K247="Mobile App",$N247*0.05,TRUE,0)</f>
        <v>1.3170000000000002</v>
      </c>
      <c r="P247" s="14" t="str">
        <f>IF(COUNTIF($G$2:G822,G247)&gt;1,"Returning","New")</f>
        <v>New</v>
      </c>
      <c r="Q247" s="24" t="str">
        <f t="shared" si="3"/>
        <v>April</v>
      </c>
      <c r="R247" t="str">
        <v>New Arrival</v>
      </c>
    </row>
    <row r="248" spans="1:18" x14ac:dyDescent="0.25">
      <c r="A248" s="10" t="s">
        <v>60</v>
      </c>
      <c r="B248" s="11" t="str">
        <f>'Electronic Shop Sales Dataset'!$A248&amp;"-"&amp;'Electronic Shop Sales Dataset'!$C248</f>
        <v>P00015-Router</v>
      </c>
      <c r="C248" s="11" t="s">
        <v>39</v>
      </c>
      <c r="D248" s="12">
        <v>294.58999999999997</v>
      </c>
      <c r="E248" s="11">
        <v>1</v>
      </c>
      <c r="F248" s="11" t="s">
        <v>33</v>
      </c>
      <c r="G248" s="11" t="s">
        <v>488</v>
      </c>
      <c r="H248" s="11" t="s">
        <v>120</v>
      </c>
      <c r="I248" s="11">
        <v>40.349457000000001</v>
      </c>
      <c r="J248" s="11">
        <v>-88.986136999999999</v>
      </c>
      <c r="K248" s="11" t="s">
        <v>15</v>
      </c>
      <c r="L248" s="13">
        <v>45412</v>
      </c>
      <c r="M248" s="13">
        <f>DATEVALUE(TEXT(L248,"mm/dd/yy"))</f>
        <v>45412</v>
      </c>
      <c r="N248" s="12">
        <f>'Electronic Shop Sales Dataset'!$D248*'Electronic Shop Sales Dataset'!$E248</f>
        <v>294.58999999999997</v>
      </c>
      <c r="O248" s="12" cm="1">
        <f t="array" ref="O248">_xlfn.IFS($K248="Website",$N248*0.05, $K248="Mobile App",$N248*0.05,TRUE,0)</f>
        <v>0</v>
      </c>
      <c r="P248" s="14" t="str">
        <f>IF(COUNTIF($G$2:G823,G248)&gt;1,"Returning","New")</f>
        <v>New</v>
      </c>
      <c r="Q248" s="24" t="str">
        <f t="shared" si="3"/>
        <v>April</v>
      </c>
      <c r="R248" t="str">
        <v>New Arrival</v>
      </c>
    </row>
    <row r="249" spans="1:18" x14ac:dyDescent="0.25">
      <c r="A249" s="15" t="s">
        <v>24</v>
      </c>
      <c r="B249" s="16" t="str">
        <f>'Electronic Shop Sales Dataset'!$A249&amp;"-"&amp;'Electronic Shop Sales Dataset'!$C249</f>
        <v>P00013-Speaker</v>
      </c>
      <c r="C249" s="16" t="s">
        <v>106</v>
      </c>
      <c r="D249" s="17">
        <v>317.14</v>
      </c>
      <c r="E249" s="16">
        <v>2</v>
      </c>
      <c r="F249" s="16" t="s">
        <v>13</v>
      </c>
      <c r="G249" s="16" t="s">
        <v>489</v>
      </c>
      <c r="H249" s="16" t="s">
        <v>96</v>
      </c>
      <c r="I249" s="16">
        <v>42.011538999999999</v>
      </c>
      <c r="J249" s="16">
        <v>-93.210526000000002</v>
      </c>
      <c r="K249" s="16" t="s">
        <v>54</v>
      </c>
      <c r="L249" s="18">
        <v>45412</v>
      </c>
      <c r="M249" s="13">
        <f>DATEVALUE(TEXT(L249,"mm/dd/yy"))</f>
        <v>45412</v>
      </c>
      <c r="N249" s="17">
        <f>'Electronic Shop Sales Dataset'!$D249*'Electronic Shop Sales Dataset'!$E249</f>
        <v>634.28</v>
      </c>
      <c r="O249" s="12" cm="1">
        <f t="array" ref="O249">_xlfn.IFS($K249="Website",$N249*0.05, $K249="Mobile App",$N249*0.05,TRUE,0)</f>
        <v>31.713999999999999</v>
      </c>
      <c r="P249" s="14" t="str">
        <f>IF(COUNTIF($G$2:G824,G249)&gt;1,"Returning","New")</f>
        <v>New</v>
      </c>
      <c r="Q249" s="24" t="str">
        <f t="shared" si="3"/>
        <v>April</v>
      </c>
      <c r="R249" t="str">
        <v>New Arrival</v>
      </c>
    </row>
    <row r="250" spans="1:18" x14ac:dyDescent="0.25">
      <c r="A250" s="10" t="s">
        <v>69</v>
      </c>
      <c r="B250" s="11" t="str">
        <f>'Electronic Shop Sales Dataset'!$A250&amp;"-"&amp;'Electronic Shop Sales Dataset'!$C250</f>
        <v>P00005-Smart TV</v>
      </c>
      <c r="C250" s="11" t="s">
        <v>74</v>
      </c>
      <c r="D250" s="12">
        <v>392.24</v>
      </c>
      <c r="E250" s="11">
        <v>4</v>
      </c>
      <c r="F250" s="11" t="s">
        <v>43</v>
      </c>
      <c r="G250" s="11" t="s">
        <v>490</v>
      </c>
      <c r="H250" s="11" t="s">
        <v>59</v>
      </c>
      <c r="I250" s="11">
        <v>41.680892999999998</v>
      </c>
      <c r="J250" s="11">
        <v>-71.511780000000002</v>
      </c>
      <c r="K250" s="11" t="s">
        <v>27</v>
      </c>
      <c r="L250" s="13">
        <v>45412</v>
      </c>
      <c r="M250" s="13">
        <f>DATEVALUE(TEXT(L250,"mm/dd/yy"))</f>
        <v>45412</v>
      </c>
      <c r="N250" s="12">
        <f>'Electronic Shop Sales Dataset'!$D250*'Electronic Shop Sales Dataset'!$E250</f>
        <v>1568.96</v>
      </c>
      <c r="O250" s="12" cm="1">
        <f t="array" ref="O250">_xlfn.IFS($K250="Website",$N250*0.05, $K250="Mobile App",$N250*0.05,TRUE,0)</f>
        <v>0</v>
      </c>
      <c r="P250" s="14" t="str">
        <f>IF(COUNTIF($G$2:G825,G250)&gt;1,"Returning","New")</f>
        <v>New</v>
      </c>
      <c r="Q250" s="24" t="str">
        <f t="shared" si="3"/>
        <v>April</v>
      </c>
      <c r="R250" t="str">
        <v>New Arrival</v>
      </c>
    </row>
    <row r="251" spans="1:18" x14ac:dyDescent="0.25">
      <c r="A251" s="15" t="s">
        <v>61</v>
      </c>
      <c r="B251" s="16" t="str">
        <f>'Electronic Shop Sales Dataset'!$A251&amp;"-"&amp;'Electronic Shop Sales Dataset'!$C251</f>
        <v>P00002-Camera</v>
      </c>
      <c r="C251" s="16" t="s">
        <v>46</v>
      </c>
      <c r="D251" s="17">
        <v>1292.1199999999999</v>
      </c>
      <c r="E251" s="16">
        <v>1</v>
      </c>
      <c r="F251" s="16" t="s">
        <v>33</v>
      </c>
      <c r="G251" s="16" t="s">
        <v>491</v>
      </c>
      <c r="H251" s="16" t="s">
        <v>67</v>
      </c>
      <c r="I251" s="16">
        <v>46.921925000000002</v>
      </c>
      <c r="J251" s="16">
        <v>-110.454353</v>
      </c>
      <c r="K251" s="16" t="s">
        <v>54</v>
      </c>
      <c r="L251" s="18">
        <v>45412</v>
      </c>
      <c r="M251" s="13">
        <f>DATEVALUE(TEXT(L251,"mm/dd/yy"))</f>
        <v>45412</v>
      </c>
      <c r="N251" s="17">
        <f>'Electronic Shop Sales Dataset'!$D251*'Electronic Shop Sales Dataset'!$E251</f>
        <v>1292.1199999999999</v>
      </c>
      <c r="O251" s="12" cm="1">
        <f t="array" ref="O251">_xlfn.IFS($K251="Website",$N251*0.05, $K251="Mobile App",$N251*0.05,TRUE,0)</f>
        <v>64.605999999999995</v>
      </c>
      <c r="P251" s="14" t="str">
        <f>IF(COUNTIF($G$2:G826,G251)&gt;1,"Returning","New")</f>
        <v>New</v>
      </c>
      <c r="Q251" s="24" t="str">
        <f t="shared" si="3"/>
        <v>April</v>
      </c>
      <c r="R251" t="str">
        <v>New Arrival</v>
      </c>
    </row>
    <row r="252" spans="1:18" x14ac:dyDescent="0.25">
      <c r="A252" s="10" t="s">
        <v>41</v>
      </c>
      <c r="B252" s="11" t="str">
        <f>'Electronic Shop Sales Dataset'!$A252&amp;"-"&amp;'Electronic Shop Sales Dataset'!$C252</f>
        <v>P00024-Smartphone</v>
      </c>
      <c r="C252" s="11" t="s">
        <v>12</v>
      </c>
      <c r="D252" s="12">
        <v>342.28</v>
      </c>
      <c r="E252" s="11">
        <v>4</v>
      </c>
      <c r="F252" s="11" t="s">
        <v>21</v>
      </c>
      <c r="G252" s="11" t="s">
        <v>492</v>
      </c>
      <c r="H252" s="11" t="s">
        <v>77</v>
      </c>
      <c r="I252" s="11">
        <v>44.693947000000001</v>
      </c>
      <c r="J252" s="11">
        <v>-69.381927000000005</v>
      </c>
      <c r="K252" s="11" t="s">
        <v>15</v>
      </c>
      <c r="L252" s="13">
        <v>45413</v>
      </c>
      <c r="M252" s="13">
        <f>DATEVALUE(TEXT(L252,"mm/dd/yy"))</f>
        <v>45413</v>
      </c>
      <c r="N252" s="12">
        <f>'Electronic Shop Sales Dataset'!$D252*'Electronic Shop Sales Dataset'!$E252</f>
        <v>1369.12</v>
      </c>
      <c r="O252" s="12" cm="1">
        <f t="array" ref="O252">_xlfn.IFS($K252="Website",$N252*0.05, $K252="Mobile App",$N252*0.05,TRUE,0)</f>
        <v>0</v>
      </c>
      <c r="P252" s="14" t="str">
        <f>IF(COUNTIF($G$2:G827,G252)&gt;1,"Returning","New")</f>
        <v>New</v>
      </c>
      <c r="Q252" s="24" t="str">
        <f t="shared" si="3"/>
        <v>May</v>
      </c>
      <c r="R252" t="str">
        <v>New Arrival</v>
      </c>
    </row>
    <row r="253" spans="1:18" x14ac:dyDescent="0.25">
      <c r="A253" s="15" t="s">
        <v>61</v>
      </c>
      <c r="B253" s="16" t="str">
        <f>'Electronic Shop Sales Dataset'!$A253&amp;"-"&amp;'Electronic Shop Sales Dataset'!$C253</f>
        <v>P00002-Smartphone</v>
      </c>
      <c r="C253" s="16" t="s">
        <v>12</v>
      </c>
      <c r="D253" s="17">
        <v>1024.5899999999999</v>
      </c>
      <c r="E253" s="16">
        <v>5</v>
      </c>
      <c r="F253" s="16" t="s">
        <v>43</v>
      </c>
      <c r="G253" s="16" t="s">
        <v>493</v>
      </c>
      <c r="H253" s="16" t="s">
        <v>110</v>
      </c>
      <c r="I253" s="16">
        <v>33.040619</v>
      </c>
      <c r="J253" s="16">
        <v>-83.643073999999999</v>
      </c>
      <c r="K253" s="16" t="s">
        <v>54</v>
      </c>
      <c r="L253" s="18">
        <v>45413</v>
      </c>
      <c r="M253" s="13">
        <f>DATEVALUE(TEXT(L253,"mm/dd/yy"))</f>
        <v>45413</v>
      </c>
      <c r="N253" s="17">
        <f>'Electronic Shop Sales Dataset'!$D253*'Electronic Shop Sales Dataset'!$E253</f>
        <v>5122.95</v>
      </c>
      <c r="O253" s="12" cm="1">
        <f t="array" ref="O253">_xlfn.IFS($K253="Website",$N253*0.05, $K253="Mobile App",$N253*0.05,TRUE,0)</f>
        <v>256.14749999999998</v>
      </c>
      <c r="P253" s="14" t="str">
        <f>IF(COUNTIF($G$2:G828,G253)&gt;1,"Returning","New")</f>
        <v>New</v>
      </c>
      <c r="Q253" s="24" t="str">
        <f t="shared" si="3"/>
        <v>May</v>
      </c>
      <c r="R253" t="str">
        <v>New Arrival</v>
      </c>
    </row>
    <row r="254" spans="1:18" x14ac:dyDescent="0.25">
      <c r="A254" s="10" t="s">
        <v>88</v>
      </c>
      <c r="B254" s="11" t="str">
        <f>'Electronic Shop Sales Dataset'!$A254&amp;"-"&amp;'Electronic Shop Sales Dataset'!$C254</f>
        <v>P00018-Graphics Card</v>
      </c>
      <c r="C254" s="11" t="s">
        <v>125</v>
      </c>
      <c r="D254" s="12">
        <v>1594.94</v>
      </c>
      <c r="E254" s="11">
        <v>1</v>
      </c>
      <c r="F254" s="11" t="s">
        <v>21</v>
      </c>
      <c r="G254" s="11" t="s">
        <v>494</v>
      </c>
      <c r="H254" s="11" t="s">
        <v>45</v>
      </c>
      <c r="I254" s="11">
        <v>36.116202999999999</v>
      </c>
      <c r="J254" s="11">
        <v>-119.68156399999999</v>
      </c>
      <c r="K254" s="11" t="s">
        <v>23</v>
      </c>
      <c r="L254" s="13">
        <v>45414</v>
      </c>
      <c r="M254" s="13">
        <f>DATEVALUE(TEXT(L254,"mm/dd/yy"))</f>
        <v>45414</v>
      </c>
      <c r="N254" s="12">
        <f>'Electronic Shop Sales Dataset'!$D254*'Electronic Shop Sales Dataset'!$E254</f>
        <v>1594.94</v>
      </c>
      <c r="O254" s="12" cm="1">
        <f t="array" ref="O254">_xlfn.IFS($K254="Website",$N254*0.05, $K254="Mobile App",$N254*0.05,TRUE,0)</f>
        <v>0</v>
      </c>
      <c r="P254" s="14" t="str">
        <f>IF(COUNTIF($G$2:G829,G254)&gt;1,"Returning","New")</f>
        <v>New</v>
      </c>
      <c r="Q254" s="24" t="str">
        <f t="shared" si="3"/>
        <v>May</v>
      </c>
      <c r="R254" t="str">
        <v>New Arrival</v>
      </c>
    </row>
    <row r="255" spans="1:18" x14ac:dyDescent="0.25">
      <c r="A255" s="15" t="s">
        <v>58</v>
      </c>
      <c r="B255" s="16" t="str">
        <f>'Electronic Shop Sales Dataset'!$A255&amp;"-"&amp;'Electronic Shop Sales Dataset'!$C255</f>
        <v>P00009-Keyboard</v>
      </c>
      <c r="C255" s="16" t="s">
        <v>29</v>
      </c>
      <c r="D255" s="17">
        <v>44.28</v>
      </c>
      <c r="E255" s="16">
        <v>1</v>
      </c>
      <c r="F255" s="16" t="s">
        <v>21</v>
      </c>
      <c r="G255" s="16" t="s">
        <v>495</v>
      </c>
      <c r="H255" s="16" t="s">
        <v>87</v>
      </c>
      <c r="I255" s="16">
        <v>33.729759000000001</v>
      </c>
      <c r="J255" s="16">
        <v>-111.43122099999999</v>
      </c>
      <c r="K255" s="16" t="s">
        <v>27</v>
      </c>
      <c r="L255" s="18">
        <v>45414</v>
      </c>
      <c r="M255" s="13">
        <f>DATEVALUE(TEXT(L255,"mm/dd/yy"))</f>
        <v>45414</v>
      </c>
      <c r="N255" s="17">
        <f>'Electronic Shop Sales Dataset'!$D255*'Electronic Shop Sales Dataset'!$E255</f>
        <v>44.28</v>
      </c>
      <c r="O255" s="12" cm="1">
        <f t="array" ref="O255">_xlfn.IFS($K255="Website",$N255*0.05, $K255="Mobile App",$N255*0.05,TRUE,0)</f>
        <v>0</v>
      </c>
      <c r="P255" s="14" t="str">
        <f>IF(COUNTIF($G$2:G830,G255)&gt;1,"Returning","New")</f>
        <v>New</v>
      </c>
      <c r="Q255" s="24" t="str">
        <f t="shared" si="3"/>
        <v>May</v>
      </c>
      <c r="R255" t="str">
        <v>New Arrival</v>
      </c>
    </row>
    <row r="256" spans="1:18" x14ac:dyDescent="0.25">
      <c r="A256" s="10" t="s">
        <v>92</v>
      </c>
      <c r="B256" s="11" t="str">
        <f>'Electronic Shop Sales Dataset'!$A256&amp;"-"&amp;'Electronic Shop Sales Dataset'!$C256</f>
        <v>P00004-Router</v>
      </c>
      <c r="C256" s="11" t="s">
        <v>39</v>
      </c>
      <c r="D256" s="12">
        <v>280.8</v>
      </c>
      <c r="E256" s="11">
        <v>5</v>
      </c>
      <c r="F256" s="11" t="s">
        <v>33</v>
      </c>
      <c r="G256" s="11" t="s">
        <v>496</v>
      </c>
      <c r="H256" s="11" t="s">
        <v>99</v>
      </c>
      <c r="I256" s="11">
        <v>37.668140000000001</v>
      </c>
      <c r="J256" s="11">
        <v>-84.670067000000003</v>
      </c>
      <c r="K256" s="11" t="s">
        <v>23</v>
      </c>
      <c r="L256" s="13">
        <v>45415</v>
      </c>
      <c r="M256" s="13">
        <f>DATEVALUE(TEXT(L256,"mm/dd/yy"))</f>
        <v>45415</v>
      </c>
      <c r="N256" s="12">
        <f>'Electronic Shop Sales Dataset'!$D256*'Electronic Shop Sales Dataset'!$E256</f>
        <v>1404</v>
      </c>
      <c r="O256" s="12" cm="1">
        <f t="array" ref="O256">_xlfn.IFS($K256="Website",$N256*0.05, $K256="Mobile App",$N256*0.05,TRUE,0)</f>
        <v>0</v>
      </c>
      <c r="P256" s="14" t="str">
        <f>IF(COUNTIF($G$2:G831,G256)&gt;1,"Returning","New")</f>
        <v>New</v>
      </c>
      <c r="Q256" s="24" t="str">
        <f t="shared" si="3"/>
        <v>May</v>
      </c>
      <c r="R256" t="str">
        <v>New Arrival</v>
      </c>
    </row>
    <row r="257" spans="1:18" x14ac:dyDescent="0.25">
      <c r="A257" s="15" t="s">
        <v>35</v>
      </c>
      <c r="B257" s="16" t="str">
        <f>'Electronic Shop Sales Dataset'!$A257&amp;"-"&amp;'Electronic Shop Sales Dataset'!$C257</f>
        <v>P00008-Smartwatch</v>
      </c>
      <c r="C257" s="16" t="s">
        <v>62</v>
      </c>
      <c r="D257" s="17">
        <v>317.3</v>
      </c>
      <c r="E257" s="16">
        <v>1</v>
      </c>
      <c r="F257" s="16" t="s">
        <v>21</v>
      </c>
      <c r="G257" s="16" t="s">
        <v>497</v>
      </c>
      <c r="H257" s="16" t="s">
        <v>18</v>
      </c>
      <c r="I257" s="16">
        <v>47.528911999999998</v>
      </c>
      <c r="J257" s="16">
        <v>-99.784012000000004</v>
      </c>
      <c r="K257" s="16" t="s">
        <v>27</v>
      </c>
      <c r="L257" s="18">
        <v>45416</v>
      </c>
      <c r="M257" s="13">
        <f>DATEVALUE(TEXT(L257,"mm/dd/yy"))</f>
        <v>45416</v>
      </c>
      <c r="N257" s="17">
        <f>'Electronic Shop Sales Dataset'!$D257*'Electronic Shop Sales Dataset'!$E257</f>
        <v>317.3</v>
      </c>
      <c r="O257" s="12" cm="1">
        <f t="array" ref="O257">_xlfn.IFS($K257="Website",$N257*0.05, $K257="Mobile App",$N257*0.05,TRUE,0)</f>
        <v>0</v>
      </c>
      <c r="P257" s="14" t="str">
        <f>IF(COUNTIF($G$2:G832,G257)&gt;1,"Returning","New")</f>
        <v>New</v>
      </c>
      <c r="Q257" s="24" t="str">
        <f t="shared" si="3"/>
        <v>May</v>
      </c>
      <c r="R257" t="str">
        <v>New Arrival</v>
      </c>
    </row>
    <row r="258" spans="1:18" x14ac:dyDescent="0.25">
      <c r="A258" s="10" t="s">
        <v>49</v>
      </c>
      <c r="B258" s="11" t="str">
        <f>'Electronic Shop Sales Dataset'!$A258&amp;"-"&amp;'Electronic Shop Sales Dataset'!$C258</f>
        <v>P00023-Projector</v>
      </c>
      <c r="C258" s="11" t="s">
        <v>65</v>
      </c>
      <c r="D258" s="12">
        <v>450.18</v>
      </c>
      <c r="E258" s="11">
        <v>4</v>
      </c>
      <c r="F258" s="11" t="s">
        <v>33</v>
      </c>
      <c r="G258" s="11" t="s">
        <v>498</v>
      </c>
      <c r="H258" s="11" t="s">
        <v>50</v>
      </c>
      <c r="I258" s="11">
        <v>47.400902000000002</v>
      </c>
      <c r="J258" s="11">
        <v>-121.490494</v>
      </c>
      <c r="K258" s="11" t="s">
        <v>27</v>
      </c>
      <c r="L258" s="13">
        <v>45416</v>
      </c>
      <c r="M258" s="13">
        <f>DATEVALUE(TEXT(L258,"mm/dd/yy"))</f>
        <v>45416</v>
      </c>
      <c r="N258" s="12">
        <f>'Electronic Shop Sales Dataset'!$D258*'Electronic Shop Sales Dataset'!$E258</f>
        <v>1800.72</v>
      </c>
      <c r="O258" s="12" cm="1">
        <f t="array" ref="O258">_xlfn.IFS($K258="Website",$N258*0.05, $K258="Mobile App",$N258*0.05,TRUE,0)</f>
        <v>0</v>
      </c>
      <c r="P258" s="14" t="str">
        <f>IF(COUNTIF($G$2:G833,G258)&gt;1,"Returning","New")</f>
        <v>New</v>
      </c>
      <c r="Q258" s="24" t="str">
        <f t="shared" si="3"/>
        <v>May</v>
      </c>
      <c r="R258" t="str">
        <v>New Arrival</v>
      </c>
    </row>
    <row r="259" spans="1:18" x14ac:dyDescent="0.25">
      <c r="A259" s="15" t="s">
        <v>88</v>
      </c>
      <c r="B259" s="16" t="str">
        <f>'Electronic Shop Sales Dataset'!$A259&amp;"-"&amp;'Electronic Shop Sales Dataset'!$C259</f>
        <v>P00018-Smart Home Hub</v>
      </c>
      <c r="C259" s="16" t="s">
        <v>42</v>
      </c>
      <c r="D259" s="17">
        <v>220.94</v>
      </c>
      <c r="E259" s="16">
        <v>4</v>
      </c>
      <c r="F259" s="16" t="s">
        <v>21</v>
      </c>
      <c r="G259" s="16" t="s">
        <v>499</v>
      </c>
      <c r="H259" s="16" t="s">
        <v>122</v>
      </c>
      <c r="I259" s="16">
        <v>42.755966000000001</v>
      </c>
      <c r="J259" s="16">
        <v>-107.30249000000001</v>
      </c>
      <c r="K259" s="16" t="s">
        <v>23</v>
      </c>
      <c r="L259" s="18">
        <v>45416</v>
      </c>
      <c r="M259" s="13">
        <f>DATEVALUE(TEXT(L259,"mm/dd/yy"))</f>
        <v>45416</v>
      </c>
      <c r="N259" s="17">
        <f>'Electronic Shop Sales Dataset'!$D259*'Electronic Shop Sales Dataset'!$E259</f>
        <v>883.76</v>
      </c>
      <c r="O259" s="12" cm="1">
        <f t="array" ref="O259">_xlfn.IFS($K259="Website",$N259*0.05, $K259="Mobile App",$N259*0.05,TRUE,0)</f>
        <v>0</v>
      </c>
      <c r="P259" s="14" t="str">
        <f>IF(COUNTIF($G$2:G834,G259)&gt;1,"Returning","New")</f>
        <v>New</v>
      </c>
      <c r="Q259" s="24" t="str">
        <f t="shared" ref="Q259:Q322" si="4">TEXT(M259,"mmmm")</f>
        <v>May</v>
      </c>
      <c r="R259" t="str">
        <v>New Arrival</v>
      </c>
    </row>
    <row r="260" spans="1:18" x14ac:dyDescent="0.25">
      <c r="A260" s="10" t="s">
        <v>51</v>
      </c>
      <c r="B260" s="11" t="str">
        <f>'Electronic Shop Sales Dataset'!$A260&amp;"-"&amp;'Electronic Shop Sales Dataset'!$C260</f>
        <v>P00017-Headphones</v>
      </c>
      <c r="C260" s="11" t="s">
        <v>55</v>
      </c>
      <c r="D260" s="12">
        <v>80.75</v>
      </c>
      <c r="E260" s="11">
        <v>1</v>
      </c>
      <c r="F260" s="11" t="s">
        <v>21</v>
      </c>
      <c r="G260" s="11" t="s">
        <v>500</v>
      </c>
      <c r="H260" s="11" t="s">
        <v>94</v>
      </c>
      <c r="I260" s="11">
        <v>41.597782000000002</v>
      </c>
      <c r="J260" s="11">
        <v>-72.755370999999997</v>
      </c>
      <c r="K260" s="11" t="s">
        <v>15</v>
      </c>
      <c r="L260" s="13">
        <v>45417</v>
      </c>
      <c r="M260" s="13">
        <f>DATEVALUE(TEXT(L260,"mm/dd/yy"))</f>
        <v>45417</v>
      </c>
      <c r="N260" s="12">
        <f>'Electronic Shop Sales Dataset'!$D260*'Electronic Shop Sales Dataset'!$E260</f>
        <v>80.75</v>
      </c>
      <c r="O260" s="12" cm="1">
        <f t="array" ref="O260">_xlfn.IFS($K260="Website",$N260*0.05, $K260="Mobile App",$N260*0.05,TRUE,0)</f>
        <v>0</v>
      </c>
      <c r="P260" s="14" t="str">
        <f>IF(COUNTIF($G$2:G835,G260)&gt;1,"Returning","New")</f>
        <v>New</v>
      </c>
      <c r="Q260" s="24" t="str">
        <f t="shared" si="4"/>
        <v>May</v>
      </c>
      <c r="R260" t="str">
        <v>New Arrival</v>
      </c>
    </row>
    <row r="261" spans="1:18" x14ac:dyDescent="0.25">
      <c r="A261" s="15" t="s">
        <v>90</v>
      </c>
      <c r="B261" s="16" t="str">
        <f>'Electronic Shop Sales Dataset'!$A261&amp;"-"&amp;'Electronic Shop Sales Dataset'!$C261</f>
        <v>P00014-Tablet</v>
      </c>
      <c r="C261" s="16" t="s">
        <v>83</v>
      </c>
      <c r="D261" s="17">
        <v>761.91</v>
      </c>
      <c r="E261" s="16">
        <v>3</v>
      </c>
      <c r="F261" s="16" t="s">
        <v>13</v>
      </c>
      <c r="G261" s="16" t="s">
        <v>501</v>
      </c>
      <c r="H261" s="16" t="s">
        <v>132</v>
      </c>
      <c r="I261" s="16">
        <v>27.766279000000001</v>
      </c>
      <c r="J261" s="16">
        <v>-81.686783000000005</v>
      </c>
      <c r="K261" s="16" t="s">
        <v>54</v>
      </c>
      <c r="L261" s="18">
        <v>45417</v>
      </c>
      <c r="M261" s="13">
        <f>DATEVALUE(TEXT(L261,"mm/dd/yy"))</f>
        <v>45417</v>
      </c>
      <c r="N261" s="17">
        <f>'Electronic Shop Sales Dataset'!$D261*'Electronic Shop Sales Dataset'!$E261</f>
        <v>2285.73</v>
      </c>
      <c r="O261" s="12" cm="1">
        <f t="array" ref="O261">_xlfn.IFS($K261="Website",$N261*0.05, $K261="Mobile App",$N261*0.05,TRUE,0)</f>
        <v>114.2865</v>
      </c>
      <c r="P261" s="14" t="str">
        <f>IF(COUNTIF($G$2:G836,G261)&gt;1,"Returning","New")</f>
        <v>New</v>
      </c>
      <c r="Q261" s="24" t="str">
        <f t="shared" si="4"/>
        <v>May</v>
      </c>
      <c r="R261" t="str">
        <v>New Arrival</v>
      </c>
    </row>
    <row r="262" spans="1:18" x14ac:dyDescent="0.25">
      <c r="A262" s="10" t="s">
        <v>102</v>
      </c>
      <c r="B262" s="11" t="str">
        <f>'Electronic Shop Sales Dataset'!$A262&amp;"-"&amp;'Electronic Shop Sales Dataset'!$C262</f>
        <v>P00001-Drone</v>
      </c>
      <c r="C262" s="11" t="s">
        <v>20</v>
      </c>
      <c r="D262" s="12">
        <v>1158.2</v>
      </c>
      <c r="E262" s="11">
        <v>4</v>
      </c>
      <c r="F262" s="11" t="s">
        <v>21</v>
      </c>
      <c r="G262" s="11" t="s">
        <v>502</v>
      </c>
      <c r="H262" s="11" t="s">
        <v>50</v>
      </c>
      <c r="I262" s="11">
        <v>47.400902000000002</v>
      </c>
      <c r="J262" s="11">
        <v>-121.490494</v>
      </c>
      <c r="K262" s="11" t="s">
        <v>15</v>
      </c>
      <c r="L262" s="13">
        <v>45418</v>
      </c>
      <c r="M262" s="13">
        <f>DATEVALUE(TEXT(L262,"mm/dd/yy"))</f>
        <v>45418</v>
      </c>
      <c r="N262" s="12">
        <f>'Electronic Shop Sales Dataset'!$D262*'Electronic Shop Sales Dataset'!$E262</f>
        <v>4632.8</v>
      </c>
      <c r="O262" s="12" cm="1">
        <f t="array" ref="O262">_xlfn.IFS($K262="Website",$N262*0.05, $K262="Mobile App",$N262*0.05,TRUE,0)</f>
        <v>0</v>
      </c>
      <c r="P262" s="14" t="str">
        <f>IF(COUNTIF($G$2:G837,G262)&gt;1,"Returning","New")</f>
        <v>New</v>
      </c>
      <c r="Q262" s="24" t="str">
        <f t="shared" si="4"/>
        <v>May</v>
      </c>
      <c r="R262" t="str">
        <v>New Arrival</v>
      </c>
    </row>
    <row r="263" spans="1:18" x14ac:dyDescent="0.25">
      <c r="A263" s="15" t="s">
        <v>58</v>
      </c>
      <c r="B263" s="16" t="str">
        <f>'Electronic Shop Sales Dataset'!$A263&amp;"-"&amp;'Electronic Shop Sales Dataset'!$C263</f>
        <v>P00009-Mouse</v>
      </c>
      <c r="C263" s="16" t="s">
        <v>95</v>
      </c>
      <c r="D263" s="17">
        <v>76.38</v>
      </c>
      <c r="E263" s="16">
        <v>1</v>
      </c>
      <c r="F263" s="16" t="s">
        <v>13</v>
      </c>
      <c r="G263" s="16" t="s">
        <v>503</v>
      </c>
      <c r="H263" s="16" t="s">
        <v>143</v>
      </c>
      <c r="I263" s="16">
        <v>35.565342000000001</v>
      </c>
      <c r="J263" s="16">
        <v>-96.928916999999998</v>
      </c>
      <c r="K263" s="16" t="s">
        <v>23</v>
      </c>
      <c r="L263" s="18">
        <v>45418</v>
      </c>
      <c r="M263" s="13">
        <f>DATEVALUE(TEXT(L263,"mm/dd/yy"))</f>
        <v>45418</v>
      </c>
      <c r="N263" s="17">
        <f>'Electronic Shop Sales Dataset'!$D263*'Electronic Shop Sales Dataset'!$E263</f>
        <v>76.38</v>
      </c>
      <c r="O263" s="12" cm="1">
        <f t="array" ref="O263">_xlfn.IFS($K263="Website",$N263*0.05, $K263="Mobile App",$N263*0.05,TRUE,0)</f>
        <v>0</v>
      </c>
      <c r="P263" s="14" t="str">
        <f>IF(COUNTIF($G$2:G838,G263)&gt;1,"Returning","New")</f>
        <v>New</v>
      </c>
      <c r="Q263" s="24" t="str">
        <f t="shared" si="4"/>
        <v>May</v>
      </c>
      <c r="R263" t="str">
        <v>New Arrival</v>
      </c>
    </row>
    <row r="264" spans="1:18" x14ac:dyDescent="0.25">
      <c r="A264" s="10" t="s">
        <v>28</v>
      </c>
      <c r="B264" s="11" t="str">
        <f>'Electronic Shop Sales Dataset'!$A264&amp;"-"&amp;'Electronic Shop Sales Dataset'!$C264</f>
        <v>P00006-Smartwatch</v>
      </c>
      <c r="C264" s="11" t="s">
        <v>62</v>
      </c>
      <c r="D264" s="12">
        <v>361.8</v>
      </c>
      <c r="E264" s="11">
        <v>5</v>
      </c>
      <c r="F264" s="11" t="s">
        <v>43</v>
      </c>
      <c r="G264" s="11" t="s">
        <v>504</v>
      </c>
      <c r="H264" s="11" t="s">
        <v>57</v>
      </c>
      <c r="I264" s="11">
        <v>40.150032000000003</v>
      </c>
      <c r="J264" s="11">
        <v>-111.86243399999999</v>
      </c>
      <c r="K264" s="11" t="s">
        <v>27</v>
      </c>
      <c r="L264" s="13">
        <v>45422</v>
      </c>
      <c r="M264" s="13">
        <f>DATEVALUE(TEXT(L264,"mm/dd/yy"))</f>
        <v>45422</v>
      </c>
      <c r="N264" s="12">
        <f>'Electronic Shop Sales Dataset'!$D264*'Electronic Shop Sales Dataset'!$E264</f>
        <v>1809</v>
      </c>
      <c r="O264" s="12" cm="1">
        <f t="array" ref="O264">_xlfn.IFS($K264="Website",$N264*0.05, $K264="Mobile App",$N264*0.05,TRUE,0)</f>
        <v>0</v>
      </c>
      <c r="P264" s="14" t="str">
        <f>IF(COUNTIF($G$2:G839,G264)&gt;1,"Returning","New")</f>
        <v>New</v>
      </c>
      <c r="Q264" s="24" t="str">
        <f t="shared" si="4"/>
        <v>May</v>
      </c>
      <c r="R264" t="str">
        <v>New Arrival</v>
      </c>
    </row>
    <row r="265" spans="1:18" x14ac:dyDescent="0.25">
      <c r="A265" s="15" t="s">
        <v>90</v>
      </c>
      <c r="B265" s="16" t="str">
        <f>'Electronic Shop Sales Dataset'!$A265&amp;"-"&amp;'Electronic Shop Sales Dataset'!$C265</f>
        <v>P00014-Hard Disk</v>
      </c>
      <c r="C265" s="16" t="s">
        <v>97</v>
      </c>
      <c r="D265" s="17">
        <v>53.54</v>
      </c>
      <c r="E265" s="16">
        <v>5</v>
      </c>
      <c r="F265" s="16" t="s">
        <v>43</v>
      </c>
      <c r="G265" s="16" t="s">
        <v>505</v>
      </c>
      <c r="H265" s="16" t="s">
        <v>146</v>
      </c>
      <c r="I265" s="16">
        <v>40.590752000000002</v>
      </c>
      <c r="J265" s="16">
        <v>-77.209755000000001</v>
      </c>
      <c r="K265" s="16" t="s">
        <v>23</v>
      </c>
      <c r="L265" s="18">
        <v>45422</v>
      </c>
      <c r="M265" s="13">
        <f>DATEVALUE(TEXT(L265,"mm/dd/yy"))</f>
        <v>45422</v>
      </c>
      <c r="N265" s="17">
        <f>'Electronic Shop Sales Dataset'!$D265*'Electronic Shop Sales Dataset'!$E265</f>
        <v>267.7</v>
      </c>
      <c r="O265" s="12" cm="1">
        <f t="array" ref="O265">_xlfn.IFS($K265="Website",$N265*0.05, $K265="Mobile App",$N265*0.05,TRUE,0)</f>
        <v>0</v>
      </c>
      <c r="P265" s="14" t="str">
        <f>IF(COUNTIF($G$2:G840,G265)&gt;1,"Returning","New")</f>
        <v>New</v>
      </c>
      <c r="Q265" s="24" t="str">
        <f t="shared" si="4"/>
        <v>May</v>
      </c>
      <c r="R265" t="str">
        <v>New Arrival</v>
      </c>
    </row>
    <row r="266" spans="1:18" x14ac:dyDescent="0.25">
      <c r="A266" s="10" t="s">
        <v>35</v>
      </c>
      <c r="B266" s="11" t="str">
        <f>'Electronic Shop Sales Dataset'!$A266&amp;"-"&amp;'Electronic Shop Sales Dataset'!$C266</f>
        <v>P00008-Printer</v>
      </c>
      <c r="C266" s="11" t="s">
        <v>52</v>
      </c>
      <c r="D266" s="12">
        <v>394.25</v>
      </c>
      <c r="E266" s="11">
        <v>5</v>
      </c>
      <c r="F266" s="11" t="s">
        <v>21</v>
      </c>
      <c r="G266" s="11" t="s">
        <v>506</v>
      </c>
      <c r="H266" s="11" t="s">
        <v>67</v>
      </c>
      <c r="I266" s="11">
        <v>46.921925000000002</v>
      </c>
      <c r="J266" s="11">
        <v>-110.454353</v>
      </c>
      <c r="K266" s="11" t="s">
        <v>27</v>
      </c>
      <c r="L266" s="13">
        <v>45423</v>
      </c>
      <c r="M266" s="13">
        <f>DATEVALUE(TEXT(L266,"mm/dd/yy"))</f>
        <v>45423</v>
      </c>
      <c r="N266" s="12">
        <f>'Electronic Shop Sales Dataset'!$D266*'Electronic Shop Sales Dataset'!$E266</f>
        <v>1971.25</v>
      </c>
      <c r="O266" s="12" cm="1">
        <f t="array" ref="O266">_xlfn.IFS($K266="Website",$N266*0.05, $K266="Mobile App",$N266*0.05,TRUE,0)</f>
        <v>0</v>
      </c>
      <c r="P266" s="14" t="str">
        <f>IF(COUNTIF($G$2:G841,G266)&gt;1,"Returning","New")</f>
        <v>New</v>
      </c>
      <c r="Q266" s="24" t="str">
        <f t="shared" si="4"/>
        <v>May</v>
      </c>
      <c r="R266" t="str">
        <v>New Arrival</v>
      </c>
    </row>
    <row r="267" spans="1:18" x14ac:dyDescent="0.25">
      <c r="A267" s="15" t="s">
        <v>41</v>
      </c>
      <c r="B267" s="16" t="str">
        <f>'Electronic Shop Sales Dataset'!$A267&amp;"-"&amp;'Electronic Shop Sales Dataset'!$C267</f>
        <v>P00024-Gaming Console</v>
      </c>
      <c r="C267" s="16" t="s">
        <v>17</v>
      </c>
      <c r="D267" s="17">
        <v>498.31</v>
      </c>
      <c r="E267" s="16">
        <v>1</v>
      </c>
      <c r="F267" s="16" t="s">
        <v>21</v>
      </c>
      <c r="G267" s="16" t="s">
        <v>507</v>
      </c>
      <c r="H267" s="16" t="s">
        <v>47</v>
      </c>
      <c r="I267" s="16">
        <v>44.045876</v>
      </c>
      <c r="J267" s="16">
        <v>-72.710685999999995</v>
      </c>
      <c r="K267" s="16" t="s">
        <v>54</v>
      </c>
      <c r="L267" s="18">
        <v>45423</v>
      </c>
      <c r="M267" s="13">
        <f>DATEVALUE(TEXT(L267,"mm/dd/yy"))</f>
        <v>45423</v>
      </c>
      <c r="N267" s="17">
        <f>'Electronic Shop Sales Dataset'!$D267*'Electronic Shop Sales Dataset'!$E267</f>
        <v>498.31</v>
      </c>
      <c r="O267" s="12" cm="1">
        <f t="array" ref="O267">_xlfn.IFS($K267="Website",$N267*0.05, $K267="Mobile App",$N267*0.05,TRUE,0)</f>
        <v>24.915500000000002</v>
      </c>
      <c r="P267" s="14" t="str">
        <f>IF(COUNTIF($G$2:G842,G267)&gt;1,"Returning","New")</f>
        <v>New</v>
      </c>
      <c r="Q267" s="24" t="str">
        <f t="shared" si="4"/>
        <v>May</v>
      </c>
      <c r="R267" t="str">
        <v>New Arrival</v>
      </c>
    </row>
    <row r="268" spans="1:18" x14ac:dyDescent="0.25">
      <c r="A268" s="10" t="s">
        <v>60</v>
      </c>
      <c r="B268" s="11" t="str">
        <f>'Electronic Shop Sales Dataset'!$A268&amp;"-"&amp;'Electronic Shop Sales Dataset'!$C268</f>
        <v>P00015-Tablet</v>
      </c>
      <c r="C268" s="11" t="s">
        <v>83</v>
      </c>
      <c r="D268" s="12">
        <v>253.8</v>
      </c>
      <c r="E268" s="11">
        <v>1</v>
      </c>
      <c r="F268" s="11" t="s">
        <v>13</v>
      </c>
      <c r="G268" s="11" t="s">
        <v>508</v>
      </c>
      <c r="H268" s="11" t="s">
        <v>143</v>
      </c>
      <c r="I268" s="11">
        <v>35.565342000000001</v>
      </c>
      <c r="J268" s="11">
        <v>-96.928916999999998</v>
      </c>
      <c r="K268" s="11" t="s">
        <v>27</v>
      </c>
      <c r="L268" s="13">
        <v>45424</v>
      </c>
      <c r="M268" s="13">
        <f>DATEVALUE(TEXT(L268,"mm/dd/yy"))</f>
        <v>45424</v>
      </c>
      <c r="N268" s="12">
        <f>'Electronic Shop Sales Dataset'!$D268*'Electronic Shop Sales Dataset'!$E268</f>
        <v>253.8</v>
      </c>
      <c r="O268" s="12" cm="1">
        <f t="array" ref="O268">_xlfn.IFS($K268="Website",$N268*0.05, $K268="Mobile App",$N268*0.05,TRUE,0)</f>
        <v>0</v>
      </c>
      <c r="P268" s="14" t="str">
        <f>IF(COUNTIF($G$2:G843,G268)&gt;1,"Returning","New")</f>
        <v>New</v>
      </c>
      <c r="Q268" s="24" t="str">
        <f t="shared" si="4"/>
        <v>May</v>
      </c>
      <c r="R268" t="str">
        <v>New Arrival</v>
      </c>
    </row>
    <row r="269" spans="1:18" x14ac:dyDescent="0.25">
      <c r="A269" s="15" t="s">
        <v>31</v>
      </c>
      <c r="B269" s="16" t="str">
        <f>'Electronic Shop Sales Dataset'!$A269&amp;"-"&amp;'Electronic Shop Sales Dataset'!$C269</f>
        <v>P00022-Printer</v>
      </c>
      <c r="C269" s="16" t="s">
        <v>52</v>
      </c>
      <c r="D269" s="17">
        <v>439.21</v>
      </c>
      <c r="E269" s="16">
        <v>5</v>
      </c>
      <c r="F269" s="16" t="s">
        <v>21</v>
      </c>
      <c r="G269" s="16" t="s">
        <v>509</v>
      </c>
      <c r="H269" s="16" t="s">
        <v>146</v>
      </c>
      <c r="I269" s="16">
        <v>40.590752000000002</v>
      </c>
      <c r="J269" s="16">
        <v>-77.209755000000001</v>
      </c>
      <c r="K269" s="16" t="s">
        <v>15</v>
      </c>
      <c r="L269" s="18">
        <v>45424</v>
      </c>
      <c r="M269" s="13">
        <f>DATEVALUE(TEXT(L269,"mm/dd/yy"))</f>
        <v>45424</v>
      </c>
      <c r="N269" s="17">
        <f>'Electronic Shop Sales Dataset'!$D269*'Electronic Shop Sales Dataset'!$E269</f>
        <v>2196.0499999999997</v>
      </c>
      <c r="O269" s="12" cm="1">
        <f t="array" ref="O269">_xlfn.IFS($K269="Website",$N269*0.05, $K269="Mobile App",$N269*0.05,TRUE,0)</f>
        <v>0</v>
      </c>
      <c r="P269" s="14" t="str">
        <f>IF(COUNTIF($G$2:G844,G269)&gt;1,"Returning","New")</f>
        <v>New</v>
      </c>
      <c r="Q269" s="24" t="str">
        <f t="shared" si="4"/>
        <v>May</v>
      </c>
      <c r="R269" t="str">
        <v>New Arrival</v>
      </c>
    </row>
    <row r="270" spans="1:18" x14ac:dyDescent="0.25">
      <c r="A270" s="10" t="s">
        <v>41</v>
      </c>
      <c r="B270" s="11" t="str">
        <f>'Electronic Shop Sales Dataset'!$A270&amp;"-"&amp;'Electronic Shop Sales Dataset'!$C270</f>
        <v>P00024-VR Headset</v>
      </c>
      <c r="C270" s="11" t="s">
        <v>72</v>
      </c>
      <c r="D270" s="12">
        <v>825.11</v>
      </c>
      <c r="E270" s="11">
        <v>2</v>
      </c>
      <c r="F270" s="11" t="s">
        <v>13</v>
      </c>
      <c r="G270" s="11" t="s">
        <v>510</v>
      </c>
      <c r="H270" s="11" t="s">
        <v>87</v>
      </c>
      <c r="I270" s="11">
        <v>33.729759000000001</v>
      </c>
      <c r="J270" s="11">
        <v>-111.43122099999999</v>
      </c>
      <c r="K270" s="11" t="s">
        <v>27</v>
      </c>
      <c r="L270" s="13">
        <v>45426</v>
      </c>
      <c r="M270" s="13">
        <f>DATEVALUE(TEXT(L270,"mm/dd/yy"))</f>
        <v>45426</v>
      </c>
      <c r="N270" s="12">
        <f>'Electronic Shop Sales Dataset'!$D270*'Electronic Shop Sales Dataset'!$E270</f>
        <v>1650.22</v>
      </c>
      <c r="O270" s="12" cm="1">
        <f t="array" ref="O270">_xlfn.IFS($K270="Website",$N270*0.05, $K270="Mobile App",$N270*0.05,TRUE,0)</f>
        <v>0</v>
      </c>
      <c r="P270" s="14" t="str">
        <f>IF(COUNTIF($G$2:G845,G270)&gt;1,"Returning","New")</f>
        <v>New</v>
      </c>
      <c r="Q270" s="24" t="str">
        <f t="shared" si="4"/>
        <v>May</v>
      </c>
      <c r="R270" t="str">
        <v>New Arrival</v>
      </c>
    </row>
    <row r="271" spans="1:18" x14ac:dyDescent="0.25">
      <c r="A271" s="15" t="s">
        <v>58</v>
      </c>
      <c r="B271" s="16" t="str">
        <f>'Electronic Shop Sales Dataset'!$A271&amp;"-"&amp;'Electronic Shop Sales Dataset'!$C271</f>
        <v>P00009-Drone</v>
      </c>
      <c r="C271" s="16" t="s">
        <v>20</v>
      </c>
      <c r="D271" s="17">
        <v>1100.23</v>
      </c>
      <c r="E271" s="16">
        <v>3</v>
      </c>
      <c r="F271" s="16" t="s">
        <v>21</v>
      </c>
      <c r="G271" s="16" t="s">
        <v>511</v>
      </c>
      <c r="H271" s="16" t="s">
        <v>156</v>
      </c>
      <c r="I271" s="16">
        <v>41.125369999999997</v>
      </c>
      <c r="J271" s="16">
        <v>-98.268082000000007</v>
      </c>
      <c r="K271" s="16" t="s">
        <v>23</v>
      </c>
      <c r="L271" s="18">
        <v>45428</v>
      </c>
      <c r="M271" s="13">
        <f>DATEVALUE(TEXT(L271,"mm/dd/yy"))</f>
        <v>45428</v>
      </c>
      <c r="N271" s="17">
        <f>'Electronic Shop Sales Dataset'!$D271*'Electronic Shop Sales Dataset'!$E271</f>
        <v>3300.69</v>
      </c>
      <c r="O271" s="12" cm="1">
        <f t="array" ref="O271">_xlfn.IFS($K271="Website",$N271*0.05, $K271="Mobile App",$N271*0.05,TRUE,0)</f>
        <v>0</v>
      </c>
      <c r="P271" s="14" t="str">
        <f>IF(COUNTIF($G$2:G846,G271)&gt;1,"Returning","New")</f>
        <v>New</v>
      </c>
      <c r="Q271" s="24" t="str">
        <f t="shared" si="4"/>
        <v>May</v>
      </c>
      <c r="R271" t="str">
        <v>New Arrival</v>
      </c>
    </row>
    <row r="272" spans="1:18" x14ac:dyDescent="0.25">
      <c r="A272" s="10" t="s">
        <v>11</v>
      </c>
      <c r="B272" s="11" t="str">
        <f>'Electronic Shop Sales Dataset'!$A272&amp;"-"&amp;'Electronic Shop Sales Dataset'!$C272</f>
        <v>P00019-Printer</v>
      </c>
      <c r="C272" s="11" t="s">
        <v>52</v>
      </c>
      <c r="D272" s="12">
        <v>335.16</v>
      </c>
      <c r="E272" s="11">
        <v>5</v>
      </c>
      <c r="F272" s="11" t="s">
        <v>33</v>
      </c>
      <c r="G272" s="11" t="s">
        <v>254</v>
      </c>
      <c r="H272" s="11" t="s">
        <v>63</v>
      </c>
      <c r="I272" s="11">
        <v>34.840515000000003</v>
      </c>
      <c r="J272" s="11">
        <v>-106.248482</v>
      </c>
      <c r="K272" s="11" t="s">
        <v>54</v>
      </c>
      <c r="L272" s="13">
        <v>45429</v>
      </c>
      <c r="M272" s="13">
        <f>DATEVALUE(TEXT(L272,"mm/dd/yy"))</f>
        <v>45429</v>
      </c>
      <c r="N272" s="12">
        <f>'Electronic Shop Sales Dataset'!$D272*'Electronic Shop Sales Dataset'!$E272</f>
        <v>1675.8000000000002</v>
      </c>
      <c r="O272" s="12" cm="1">
        <f t="array" ref="O272">_xlfn.IFS($K272="Website",$N272*0.05, $K272="Mobile App",$N272*0.05,TRUE,0)</f>
        <v>83.79000000000002</v>
      </c>
      <c r="P272" s="14" t="str">
        <f>IF(COUNTIF($G$2:G847,G272)&gt;1,"Returning","New")</f>
        <v>New</v>
      </c>
      <c r="Q272" s="24" t="str">
        <f t="shared" si="4"/>
        <v>May</v>
      </c>
      <c r="R272" t="str">
        <v>New Arrival</v>
      </c>
    </row>
    <row r="273" spans="1:18" x14ac:dyDescent="0.25">
      <c r="A273" s="15" t="s">
        <v>60</v>
      </c>
      <c r="B273" s="16" t="str">
        <f>'Electronic Shop Sales Dataset'!$A273&amp;"-"&amp;'Electronic Shop Sales Dataset'!$C273</f>
        <v>P00015-Monitor</v>
      </c>
      <c r="C273" s="16" t="s">
        <v>25</v>
      </c>
      <c r="D273" s="17">
        <v>825.53</v>
      </c>
      <c r="E273" s="16">
        <v>1</v>
      </c>
      <c r="F273" s="16" t="s">
        <v>33</v>
      </c>
      <c r="G273" s="16" t="s">
        <v>243</v>
      </c>
      <c r="H273" s="16" t="s">
        <v>34</v>
      </c>
      <c r="I273" s="16">
        <v>32.806671000000001</v>
      </c>
      <c r="J273" s="16">
        <v>-86.791129999999995</v>
      </c>
      <c r="K273" s="16" t="s">
        <v>27</v>
      </c>
      <c r="L273" s="18">
        <v>45429</v>
      </c>
      <c r="M273" s="13">
        <f>DATEVALUE(TEXT(L273,"mm/dd/yy"))</f>
        <v>45429</v>
      </c>
      <c r="N273" s="17">
        <f>'Electronic Shop Sales Dataset'!$D273*'Electronic Shop Sales Dataset'!$E273</f>
        <v>825.53</v>
      </c>
      <c r="O273" s="12" cm="1">
        <f t="array" ref="O273">_xlfn.IFS($K273="Website",$N273*0.05, $K273="Mobile App",$N273*0.05,TRUE,0)</f>
        <v>0</v>
      </c>
      <c r="P273" s="14" t="str">
        <f>IF(COUNTIF($G$2:G848,G273)&gt;1,"Returning","New")</f>
        <v>New</v>
      </c>
      <c r="Q273" s="24" t="str">
        <f t="shared" si="4"/>
        <v>May</v>
      </c>
      <c r="R273" t="str">
        <v>New Arrival</v>
      </c>
    </row>
    <row r="274" spans="1:18" x14ac:dyDescent="0.25">
      <c r="A274" s="10" t="s">
        <v>41</v>
      </c>
      <c r="B274" s="11" t="str">
        <f>'Electronic Shop Sales Dataset'!$A274&amp;"-"&amp;'Electronic Shop Sales Dataset'!$C274</f>
        <v>P00024-Hard Disk</v>
      </c>
      <c r="C274" s="11" t="s">
        <v>97</v>
      </c>
      <c r="D274" s="12">
        <v>74.41</v>
      </c>
      <c r="E274" s="11">
        <v>4</v>
      </c>
      <c r="F274" s="11" t="s">
        <v>43</v>
      </c>
      <c r="G274" s="11" t="s">
        <v>512</v>
      </c>
      <c r="H274" s="11" t="s">
        <v>158</v>
      </c>
      <c r="I274" s="11">
        <v>44.240459000000001</v>
      </c>
      <c r="J274" s="11">
        <v>-114.47882799999999</v>
      </c>
      <c r="K274" s="11" t="s">
        <v>15</v>
      </c>
      <c r="L274" s="13">
        <v>45430</v>
      </c>
      <c r="M274" s="13">
        <f>DATEVALUE(TEXT(L274,"mm/dd/yy"))</f>
        <v>45430</v>
      </c>
      <c r="N274" s="12">
        <f>'Electronic Shop Sales Dataset'!$D274*'Electronic Shop Sales Dataset'!$E274</f>
        <v>297.64</v>
      </c>
      <c r="O274" s="12" cm="1">
        <f t="array" ref="O274">_xlfn.IFS($K274="Website",$N274*0.05, $K274="Mobile App",$N274*0.05,TRUE,0)</f>
        <v>0</v>
      </c>
      <c r="P274" s="14" t="str">
        <f>IF(COUNTIF($G$2:G849,G274)&gt;1,"Returning","New")</f>
        <v>New</v>
      </c>
      <c r="Q274" s="24" t="str">
        <f t="shared" si="4"/>
        <v>May</v>
      </c>
      <c r="R274" t="str">
        <v>New Arrival</v>
      </c>
    </row>
    <row r="275" spans="1:18" x14ac:dyDescent="0.25">
      <c r="A275" s="15" t="s">
        <v>102</v>
      </c>
      <c r="B275" s="16" t="str">
        <f>'Electronic Shop Sales Dataset'!$A275&amp;"-"&amp;'Electronic Shop Sales Dataset'!$C275</f>
        <v>P00001-Printer</v>
      </c>
      <c r="C275" s="16" t="s">
        <v>52</v>
      </c>
      <c r="D275" s="17">
        <v>172.01</v>
      </c>
      <c r="E275" s="16">
        <v>2</v>
      </c>
      <c r="F275" s="16" t="s">
        <v>43</v>
      </c>
      <c r="G275" s="16" t="s">
        <v>513</v>
      </c>
      <c r="H275" s="16" t="s">
        <v>132</v>
      </c>
      <c r="I275" s="16">
        <v>27.766279000000001</v>
      </c>
      <c r="J275" s="16">
        <v>-81.686783000000005</v>
      </c>
      <c r="K275" s="16" t="s">
        <v>48</v>
      </c>
      <c r="L275" s="18">
        <v>45430</v>
      </c>
      <c r="M275" s="13">
        <f>DATEVALUE(TEXT(L275,"mm/dd/yy"))</f>
        <v>45430</v>
      </c>
      <c r="N275" s="17">
        <f>'Electronic Shop Sales Dataset'!$D275*'Electronic Shop Sales Dataset'!$E275</f>
        <v>344.02</v>
      </c>
      <c r="O275" s="12" cm="1">
        <f t="array" ref="O275">_xlfn.IFS($K275="Website",$N275*0.05, $K275="Mobile App",$N275*0.05,TRUE,0)</f>
        <v>17.201000000000001</v>
      </c>
      <c r="P275" s="14" t="str">
        <f>IF(COUNTIF($G$2:G850,G275)&gt;1,"Returning","New")</f>
        <v>New</v>
      </c>
      <c r="Q275" s="24" t="str">
        <f t="shared" si="4"/>
        <v>May</v>
      </c>
      <c r="R275" t="str">
        <v>New Arrival</v>
      </c>
    </row>
    <row r="276" spans="1:18" x14ac:dyDescent="0.25">
      <c r="A276" s="10" t="s">
        <v>35</v>
      </c>
      <c r="B276" s="11" t="str">
        <f>'Electronic Shop Sales Dataset'!$A276&amp;"-"&amp;'Electronic Shop Sales Dataset'!$C276</f>
        <v>P00008-USB Drive</v>
      </c>
      <c r="C276" s="11" t="s">
        <v>36</v>
      </c>
      <c r="D276" s="12">
        <v>42.18</v>
      </c>
      <c r="E276" s="11">
        <v>2</v>
      </c>
      <c r="F276" s="11" t="s">
        <v>43</v>
      </c>
      <c r="G276" s="11" t="s">
        <v>514</v>
      </c>
      <c r="H276" s="11" t="s">
        <v>78</v>
      </c>
      <c r="I276" s="11">
        <v>31.054487000000002</v>
      </c>
      <c r="J276" s="11">
        <v>-97.563461000000004</v>
      </c>
      <c r="K276" s="11" t="s">
        <v>23</v>
      </c>
      <c r="L276" s="13">
        <v>45430</v>
      </c>
      <c r="M276" s="13">
        <f>DATEVALUE(TEXT(L276,"mm/dd/yy"))</f>
        <v>45430</v>
      </c>
      <c r="N276" s="12">
        <f>'Electronic Shop Sales Dataset'!$D276*'Electronic Shop Sales Dataset'!$E276</f>
        <v>84.36</v>
      </c>
      <c r="O276" s="12" cm="1">
        <f t="array" ref="O276">_xlfn.IFS($K276="Website",$N276*0.05, $K276="Mobile App",$N276*0.05,TRUE,0)</f>
        <v>0</v>
      </c>
      <c r="P276" s="14" t="str">
        <f>IF(COUNTIF($G$2:G851,G276)&gt;1,"Returning","New")</f>
        <v>New</v>
      </c>
      <c r="Q276" s="24" t="str">
        <f t="shared" si="4"/>
        <v>May</v>
      </c>
      <c r="R276" t="str">
        <v>New Arrival</v>
      </c>
    </row>
    <row r="277" spans="1:18" x14ac:dyDescent="0.25">
      <c r="A277" s="15" t="s">
        <v>117</v>
      </c>
      <c r="B277" s="16" t="str">
        <f>'Electronic Shop Sales Dataset'!$A277&amp;"-"&amp;'Electronic Shop Sales Dataset'!$C277</f>
        <v>P00016-Monitor</v>
      </c>
      <c r="C277" s="16" t="s">
        <v>25</v>
      </c>
      <c r="D277" s="17">
        <v>223.58</v>
      </c>
      <c r="E277" s="16">
        <v>5</v>
      </c>
      <c r="F277" s="16" t="s">
        <v>43</v>
      </c>
      <c r="G277" s="16" t="s">
        <v>515</v>
      </c>
      <c r="H277" s="16" t="s">
        <v>50</v>
      </c>
      <c r="I277" s="16">
        <v>47.400902000000002</v>
      </c>
      <c r="J277" s="16">
        <v>-121.490494</v>
      </c>
      <c r="K277" s="16" t="s">
        <v>27</v>
      </c>
      <c r="L277" s="18">
        <v>45430</v>
      </c>
      <c r="M277" s="13">
        <f>DATEVALUE(TEXT(L277,"mm/dd/yy"))</f>
        <v>45430</v>
      </c>
      <c r="N277" s="17">
        <f>'Electronic Shop Sales Dataset'!$D277*'Electronic Shop Sales Dataset'!$E277</f>
        <v>1117.9000000000001</v>
      </c>
      <c r="O277" s="12" cm="1">
        <f t="array" ref="O277">_xlfn.IFS($K277="Website",$N277*0.05, $K277="Mobile App",$N277*0.05,TRUE,0)</f>
        <v>0</v>
      </c>
      <c r="P277" s="14" t="str">
        <f>IF(COUNTIF($G$2:G852,G277)&gt;1,"Returning","New")</f>
        <v>New</v>
      </c>
      <c r="Q277" s="24" t="str">
        <f t="shared" si="4"/>
        <v>May</v>
      </c>
      <c r="R277" t="str">
        <v>New Arrival</v>
      </c>
    </row>
    <row r="278" spans="1:18" x14ac:dyDescent="0.25">
      <c r="A278" s="10" t="s">
        <v>69</v>
      </c>
      <c r="B278" s="11" t="str">
        <f>'Electronic Shop Sales Dataset'!$A278&amp;"-"&amp;'Electronic Shop Sales Dataset'!$C278</f>
        <v>P00005-Scanner</v>
      </c>
      <c r="C278" s="11" t="s">
        <v>71</v>
      </c>
      <c r="D278" s="12">
        <v>350.98</v>
      </c>
      <c r="E278" s="11">
        <v>4</v>
      </c>
      <c r="F278" s="11" t="s">
        <v>13</v>
      </c>
      <c r="G278" s="11" t="s">
        <v>516</v>
      </c>
      <c r="H278" s="11" t="s">
        <v>93</v>
      </c>
      <c r="I278" s="11">
        <v>38.491225999999997</v>
      </c>
      <c r="J278" s="11">
        <v>-80.954455999999993</v>
      </c>
      <c r="K278" s="11" t="s">
        <v>15</v>
      </c>
      <c r="L278" s="13">
        <v>45431</v>
      </c>
      <c r="M278" s="13">
        <f>DATEVALUE(TEXT(L278,"mm/dd/yy"))</f>
        <v>45431</v>
      </c>
      <c r="N278" s="12">
        <f>'Electronic Shop Sales Dataset'!$D278*'Electronic Shop Sales Dataset'!$E278</f>
        <v>1403.92</v>
      </c>
      <c r="O278" s="12" cm="1">
        <f t="array" ref="O278">_xlfn.IFS($K278="Website",$N278*0.05, $K278="Mobile App",$N278*0.05,TRUE,0)</f>
        <v>0</v>
      </c>
      <c r="P278" s="14" t="str">
        <f>IF(COUNTIF($G$2:G853,G278)&gt;1,"Returning","New")</f>
        <v>New</v>
      </c>
      <c r="Q278" s="24" t="str">
        <f t="shared" si="4"/>
        <v>May</v>
      </c>
      <c r="R278" t="str">
        <v>New Arrival</v>
      </c>
    </row>
    <row r="279" spans="1:18" x14ac:dyDescent="0.25">
      <c r="A279" s="15" t="s">
        <v>86</v>
      </c>
      <c r="B279" s="16" t="str">
        <f>'Electronic Shop Sales Dataset'!$A279&amp;"-"&amp;'Electronic Shop Sales Dataset'!$C279</f>
        <v>P00021-Printer</v>
      </c>
      <c r="C279" s="16" t="s">
        <v>52</v>
      </c>
      <c r="D279" s="17">
        <v>119.46</v>
      </c>
      <c r="E279" s="16">
        <v>4</v>
      </c>
      <c r="F279" s="16" t="s">
        <v>21</v>
      </c>
      <c r="G279" s="16" t="s">
        <v>517</v>
      </c>
      <c r="H279" s="16" t="s">
        <v>76</v>
      </c>
      <c r="I279" s="16">
        <v>33.856892000000002</v>
      </c>
      <c r="J279" s="16">
        <v>-80.945007000000004</v>
      </c>
      <c r="K279" s="16" t="s">
        <v>54</v>
      </c>
      <c r="L279" s="18">
        <v>45431</v>
      </c>
      <c r="M279" s="13">
        <f>DATEVALUE(TEXT(L279,"mm/dd/yy"))</f>
        <v>45431</v>
      </c>
      <c r="N279" s="17">
        <f>'Electronic Shop Sales Dataset'!$D279*'Electronic Shop Sales Dataset'!$E279</f>
        <v>477.84</v>
      </c>
      <c r="O279" s="12" cm="1">
        <f t="array" ref="O279">_xlfn.IFS($K279="Website",$N279*0.05, $K279="Mobile App",$N279*0.05,TRUE,0)</f>
        <v>23.891999999999999</v>
      </c>
      <c r="P279" s="14" t="str">
        <f>IF(COUNTIF($G$2:G854,G279)&gt;1,"Returning","New")</f>
        <v>New</v>
      </c>
      <c r="Q279" s="24" t="str">
        <f t="shared" si="4"/>
        <v>May</v>
      </c>
      <c r="R279" t="str">
        <v>New Arrival</v>
      </c>
    </row>
    <row r="280" spans="1:18" x14ac:dyDescent="0.25">
      <c r="A280" s="10" t="s">
        <v>24</v>
      </c>
      <c r="B280" s="11" t="str">
        <f>'Electronic Shop Sales Dataset'!$A280&amp;"-"&amp;'Electronic Shop Sales Dataset'!$C280</f>
        <v>P00013-USB Drive</v>
      </c>
      <c r="C280" s="11" t="s">
        <v>36</v>
      </c>
      <c r="D280" s="12">
        <v>10.4</v>
      </c>
      <c r="E280" s="11">
        <v>2</v>
      </c>
      <c r="F280" s="11" t="s">
        <v>13</v>
      </c>
      <c r="G280" s="11" t="s">
        <v>518</v>
      </c>
      <c r="H280" s="11" t="s">
        <v>78</v>
      </c>
      <c r="I280" s="11">
        <v>31.054487000000002</v>
      </c>
      <c r="J280" s="11">
        <v>-97.563461000000004</v>
      </c>
      <c r="K280" s="11" t="s">
        <v>23</v>
      </c>
      <c r="L280" s="13">
        <v>45432</v>
      </c>
      <c r="M280" s="13">
        <f>DATEVALUE(TEXT(L280,"mm/dd/yy"))</f>
        <v>45432</v>
      </c>
      <c r="N280" s="12">
        <f>'Electronic Shop Sales Dataset'!$D280*'Electronic Shop Sales Dataset'!$E280</f>
        <v>20.8</v>
      </c>
      <c r="O280" s="12" cm="1">
        <f t="array" ref="O280">_xlfn.IFS($K280="Website",$N280*0.05, $K280="Mobile App",$N280*0.05,TRUE,0)</f>
        <v>0</v>
      </c>
      <c r="P280" s="14" t="str">
        <f>IF(COUNTIF($G$2:G855,G280)&gt;1,"Returning","New")</f>
        <v>New</v>
      </c>
      <c r="Q280" s="24" t="str">
        <f t="shared" si="4"/>
        <v>May</v>
      </c>
      <c r="R280" t="str">
        <v>New Arrival</v>
      </c>
    </row>
    <row r="281" spans="1:18" x14ac:dyDescent="0.25">
      <c r="A281" s="15" t="s">
        <v>11</v>
      </c>
      <c r="B281" s="16" t="str">
        <f>'Electronic Shop Sales Dataset'!$A281&amp;"-"&amp;'Electronic Shop Sales Dataset'!$C281</f>
        <v>P00019-Smartwatch</v>
      </c>
      <c r="C281" s="16" t="s">
        <v>62</v>
      </c>
      <c r="D281" s="17">
        <v>397.88</v>
      </c>
      <c r="E281" s="16">
        <v>1</v>
      </c>
      <c r="F281" s="16" t="s">
        <v>21</v>
      </c>
      <c r="G281" s="16" t="s">
        <v>519</v>
      </c>
      <c r="H281" s="16" t="s">
        <v>22</v>
      </c>
      <c r="I281" s="16">
        <v>32.741646000000003</v>
      </c>
      <c r="J281" s="16">
        <v>-89.678696000000002</v>
      </c>
      <c r="K281" s="16" t="s">
        <v>48</v>
      </c>
      <c r="L281" s="18">
        <v>45433</v>
      </c>
      <c r="M281" s="13">
        <f>DATEVALUE(TEXT(L281,"mm/dd/yy"))</f>
        <v>45433</v>
      </c>
      <c r="N281" s="17">
        <f>'Electronic Shop Sales Dataset'!$D281*'Electronic Shop Sales Dataset'!$E281</f>
        <v>397.88</v>
      </c>
      <c r="O281" s="12" cm="1">
        <f t="array" ref="O281">_xlfn.IFS($K281="Website",$N281*0.05, $K281="Mobile App",$N281*0.05,TRUE,0)</f>
        <v>19.894000000000002</v>
      </c>
      <c r="P281" s="14" t="str">
        <f>IF(COUNTIF($G$2:G856,G281)&gt;1,"Returning","New")</f>
        <v>New</v>
      </c>
      <c r="Q281" s="24" t="str">
        <f t="shared" si="4"/>
        <v>May</v>
      </c>
      <c r="R281" t="str">
        <v>New Arrival</v>
      </c>
    </row>
    <row r="282" spans="1:18" x14ac:dyDescent="0.25">
      <c r="A282" s="10" t="s">
        <v>49</v>
      </c>
      <c r="B282" s="11" t="str">
        <f>'Electronic Shop Sales Dataset'!$A282&amp;"-"&amp;'Electronic Shop Sales Dataset'!$C282</f>
        <v>P00023-Smartphone</v>
      </c>
      <c r="C282" s="11" t="s">
        <v>12</v>
      </c>
      <c r="D282" s="12">
        <v>935.84</v>
      </c>
      <c r="E282" s="11">
        <v>5</v>
      </c>
      <c r="F282" s="11" t="s">
        <v>13</v>
      </c>
      <c r="G282" s="11" t="s">
        <v>520</v>
      </c>
      <c r="H282" s="11" t="s">
        <v>123</v>
      </c>
      <c r="I282" s="11">
        <v>40.388782999999997</v>
      </c>
      <c r="J282" s="11">
        <v>-82.764915000000002</v>
      </c>
      <c r="K282" s="11" t="s">
        <v>15</v>
      </c>
      <c r="L282" s="13">
        <v>45433</v>
      </c>
      <c r="M282" s="13">
        <f>DATEVALUE(TEXT(L282,"mm/dd/yy"))</f>
        <v>45433</v>
      </c>
      <c r="N282" s="12">
        <f>'Electronic Shop Sales Dataset'!$D282*'Electronic Shop Sales Dataset'!$E282</f>
        <v>4679.2</v>
      </c>
      <c r="O282" s="12" cm="1">
        <f t="array" ref="O282">_xlfn.IFS($K282="Website",$N282*0.05, $K282="Mobile App",$N282*0.05,TRUE,0)</f>
        <v>0</v>
      </c>
      <c r="P282" s="14" t="str">
        <f>IF(COUNTIF($G$2:G857,G282)&gt;1,"Returning","New")</f>
        <v>New</v>
      </c>
      <c r="Q282" s="24" t="str">
        <f t="shared" si="4"/>
        <v>May</v>
      </c>
      <c r="R282" t="str">
        <v>New Arrival</v>
      </c>
    </row>
    <row r="283" spans="1:18" x14ac:dyDescent="0.25">
      <c r="A283" s="15" t="s">
        <v>84</v>
      </c>
      <c r="B283" s="16" t="str">
        <f>'Electronic Shop Sales Dataset'!$A283&amp;"-"&amp;'Electronic Shop Sales Dataset'!$C283</f>
        <v>P00020-Router</v>
      </c>
      <c r="C283" s="16" t="s">
        <v>39</v>
      </c>
      <c r="D283" s="17">
        <v>101.35</v>
      </c>
      <c r="E283" s="16">
        <v>1</v>
      </c>
      <c r="F283" s="16" t="s">
        <v>21</v>
      </c>
      <c r="G283" s="16" t="s">
        <v>220</v>
      </c>
      <c r="H283" s="16" t="s">
        <v>59</v>
      </c>
      <c r="I283" s="16">
        <v>41.680892999999998</v>
      </c>
      <c r="J283" s="16">
        <v>-71.511780000000002</v>
      </c>
      <c r="K283" s="16" t="s">
        <v>54</v>
      </c>
      <c r="L283" s="18">
        <v>45434</v>
      </c>
      <c r="M283" s="13">
        <f>DATEVALUE(TEXT(L283,"mm/dd/yy"))</f>
        <v>45434</v>
      </c>
      <c r="N283" s="17">
        <f>'Electronic Shop Sales Dataset'!$D283*'Electronic Shop Sales Dataset'!$E283</f>
        <v>101.35</v>
      </c>
      <c r="O283" s="12" cm="1">
        <f t="array" ref="O283">_xlfn.IFS($K283="Website",$N283*0.05, $K283="Mobile App",$N283*0.05,TRUE,0)</f>
        <v>5.0674999999999999</v>
      </c>
      <c r="P283" s="14" t="str">
        <f>IF(COUNTIF($G$2:G858,G283)&gt;1,"Returning","New")</f>
        <v>New</v>
      </c>
      <c r="Q283" s="24" t="str">
        <f t="shared" si="4"/>
        <v>May</v>
      </c>
      <c r="R283" t="str">
        <v>New Arrival</v>
      </c>
    </row>
    <row r="284" spans="1:18" x14ac:dyDescent="0.25">
      <c r="A284" s="10" t="s">
        <v>16</v>
      </c>
      <c r="B284" s="11" t="str">
        <f>'Electronic Shop Sales Dataset'!$A284&amp;"-"&amp;'Electronic Shop Sales Dataset'!$C284</f>
        <v>P00010-Hard Disk</v>
      </c>
      <c r="C284" s="11" t="s">
        <v>97</v>
      </c>
      <c r="D284" s="12">
        <v>135.77000000000001</v>
      </c>
      <c r="E284" s="11">
        <v>2</v>
      </c>
      <c r="F284" s="11" t="s">
        <v>21</v>
      </c>
      <c r="G284" s="11" t="s">
        <v>521</v>
      </c>
      <c r="H284" s="11" t="s">
        <v>77</v>
      </c>
      <c r="I284" s="11">
        <v>44.693947000000001</v>
      </c>
      <c r="J284" s="11">
        <v>-69.381927000000005</v>
      </c>
      <c r="K284" s="11" t="s">
        <v>23</v>
      </c>
      <c r="L284" s="13">
        <v>45434</v>
      </c>
      <c r="M284" s="13">
        <f>DATEVALUE(TEXT(L284,"mm/dd/yy"))</f>
        <v>45434</v>
      </c>
      <c r="N284" s="12">
        <f>'Electronic Shop Sales Dataset'!$D284*'Electronic Shop Sales Dataset'!$E284</f>
        <v>271.54000000000002</v>
      </c>
      <c r="O284" s="12" cm="1">
        <f t="array" ref="O284">_xlfn.IFS($K284="Website",$N284*0.05, $K284="Mobile App",$N284*0.05,TRUE,0)</f>
        <v>0</v>
      </c>
      <c r="P284" s="14" t="str">
        <f>IF(COUNTIF($G$2:G859,G284)&gt;1,"Returning","New")</f>
        <v>New</v>
      </c>
      <c r="Q284" s="24" t="str">
        <f t="shared" si="4"/>
        <v>May</v>
      </c>
      <c r="R284" t="str">
        <v>New Arrival</v>
      </c>
    </row>
    <row r="285" spans="1:18" x14ac:dyDescent="0.25">
      <c r="A285" s="15" t="s">
        <v>51</v>
      </c>
      <c r="B285" s="16" t="str">
        <f>'Electronic Shop Sales Dataset'!$A285&amp;"-"&amp;'Electronic Shop Sales Dataset'!$C285</f>
        <v>P00017-Power Bank</v>
      </c>
      <c r="C285" s="16" t="s">
        <v>124</v>
      </c>
      <c r="D285" s="17">
        <v>40.31</v>
      </c>
      <c r="E285" s="16">
        <v>3</v>
      </c>
      <c r="F285" s="16" t="s">
        <v>13</v>
      </c>
      <c r="G285" s="16" t="s">
        <v>522</v>
      </c>
      <c r="H285" s="16" t="s">
        <v>76</v>
      </c>
      <c r="I285" s="16">
        <v>33.856892000000002</v>
      </c>
      <c r="J285" s="16">
        <v>-80.945007000000004</v>
      </c>
      <c r="K285" s="16" t="s">
        <v>54</v>
      </c>
      <c r="L285" s="18">
        <v>45435</v>
      </c>
      <c r="M285" s="13">
        <f>DATEVALUE(TEXT(L285,"mm/dd/yy"))</f>
        <v>45435</v>
      </c>
      <c r="N285" s="17">
        <f>'Electronic Shop Sales Dataset'!$D285*'Electronic Shop Sales Dataset'!$E285</f>
        <v>120.93</v>
      </c>
      <c r="O285" s="12" cm="1">
        <f t="array" ref="O285">_xlfn.IFS($K285="Website",$N285*0.05, $K285="Mobile App",$N285*0.05,TRUE,0)</f>
        <v>6.0465000000000009</v>
      </c>
      <c r="P285" s="14" t="str">
        <f>IF(COUNTIF($G$2:G860,G285)&gt;1,"Returning","New")</f>
        <v>New</v>
      </c>
      <c r="Q285" s="24" t="str">
        <f t="shared" si="4"/>
        <v>May</v>
      </c>
      <c r="R285" t="str">
        <v>New Arrival</v>
      </c>
    </row>
    <row r="286" spans="1:18" x14ac:dyDescent="0.25">
      <c r="A286" s="10" t="s">
        <v>28</v>
      </c>
      <c r="B286" s="11" t="str">
        <f>'Electronic Shop Sales Dataset'!$A286&amp;"-"&amp;'Electronic Shop Sales Dataset'!$C286</f>
        <v>P00006-Drone</v>
      </c>
      <c r="C286" s="11" t="s">
        <v>20</v>
      </c>
      <c r="D286" s="12">
        <v>1953.1</v>
      </c>
      <c r="E286" s="11">
        <v>1</v>
      </c>
      <c r="F286" s="11" t="s">
        <v>43</v>
      </c>
      <c r="G286" s="11" t="s">
        <v>523</v>
      </c>
      <c r="H286" s="11" t="s">
        <v>132</v>
      </c>
      <c r="I286" s="11">
        <v>27.766279000000001</v>
      </c>
      <c r="J286" s="11">
        <v>-81.686783000000005</v>
      </c>
      <c r="K286" s="11" t="s">
        <v>48</v>
      </c>
      <c r="L286" s="13">
        <v>45437</v>
      </c>
      <c r="M286" s="13">
        <f>DATEVALUE(TEXT(L286,"mm/dd/yy"))</f>
        <v>45437</v>
      </c>
      <c r="N286" s="12">
        <f>'Electronic Shop Sales Dataset'!$D286*'Electronic Shop Sales Dataset'!$E286</f>
        <v>1953.1</v>
      </c>
      <c r="O286" s="12" cm="1">
        <f t="array" ref="O286">_xlfn.IFS($K286="Website",$N286*0.05, $K286="Mobile App",$N286*0.05,TRUE,0)</f>
        <v>97.655000000000001</v>
      </c>
      <c r="P286" s="14" t="str">
        <f>IF(COUNTIF($G$2:G861,G286)&gt;1,"Returning","New")</f>
        <v>New</v>
      </c>
      <c r="Q286" s="24" t="str">
        <f t="shared" si="4"/>
        <v>May</v>
      </c>
      <c r="R286" t="str">
        <v>New Arrival</v>
      </c>
    </row>
    <row r="287" spans="1:18" x14ac:dyDescent="0.25">
      <c r="A287" s="15" t="s">
        <v>61</v>
      </c>
      <c r="B287" s="16" t="str">
        <f>'Electronic Shop Sales Dataset'!$A287&amp;"-"&amp;'Electronic Shop Sales Dataset'!$C287</f>
        <v>P00002-Headphones</v>
      </c>
      <c r="C287" s="16" t="s">
        <v>55</v>
      </c>
      <c r="D287" s="17">
        <v>96.89</v>
      </c>
      <c r="E287" s="16">
        <v>5</v>
      </c>
      <c r="F287" s="16" t="s">
        <v>43</v>
      </c>
      <c r="G287" s="16" t="s">
        <v>524</v>
      </c>
      <c r="H287" s="16" t="s">
        <v>156</v>
      </c>
      <c r="I287" s="16">
        <v>41.125369999999997</v>
      </c>
      <c r="J287" s="16">
        <v>-98.268082000000007</v>
      </c>
      <c r="K287" s="16" t="s">
        <v>27</v>
      </c>
      <c r="L287" s="18">
        <v>45437</v>
      </c>
      <c r="M287" s="13">
        <f>DATEVALUE(TEXT(L287,"mm/dd/yy"))</f>
        <v>45437</v>
      </c>
      <c r="N287" s="17">
        <f>'Electronic Shop Sales Dataset'!$D287*'Electronic Shop Sales Dataset'!$E287</f>
        <v>484.45</v>
      </c>
      <c r="O287" s="12" cm="1">
        <f t="array" ref="O287">_xlfn.IFS($K287="Website",$N287*0.05, $K287="Mobile App",$N287*0.05,TRUE,0)</f>
        <v>0</v>
      </c>
      <c r="P287" s="14" t="str">
        <f>IF(COUNTIF($G$2:G862,G287)&gt;1,"Returning","New")</f>
        <v>New</v>
      </c>
      <c r="Q287" s="24" t="str">
        <f t="shared" si="4"/>
        <v>May</v>
      </c>
      <c r="R287" t="str">
        <v>New Arrival</v>
      </c>
    </row>
    <row r="288" spans="1:18" x14ac:dyDescent="0.25">
      <c r="A288" s="10" t="s">
        <v>51</v>
      </c>
      <c r="B288" s="11" t="str">
        <f>'Electronic Shop Sales Dataset'!$A288&amp;"-"&amp;'Electronic Shop Sales Dataset'!$C288</f>
        <v>P00017-Charger</v>
      </c>
      <c r="C288" s="11" t="s">
        <v>32</v>
      </c>
      <c r="D288" s="12">
        <v>39.32</v>
      </c>
      <c r="E288" s="11">
        <v>2</v>
      </c>
      <c r="F288" s="11" t="s">
        <v>13</v>
      </c>
      <c r="G288" s="11" t="s">
        <v>525</v>
      </c>
      <c r="H288" s="11" t="s">
        <v>57</v>
      </c>
      <c r="I288" s="11">
        <v>40.150032000000003</v>
      </c>
      <c r="J288" s="11">
        <v>-111.86243399999999</v>
      </c>
      <c r="K288" s="11" t="s">
        <v>48</v>
      </c>
      <c r="L288" s="13">
        <v>45437</v>
      </c>
      <c r="M288" s="13">
        <f>DATEVALUE(TEXT(L288,"mm/dd/yy"))</f>
        <v>45437</v>
      </c>
      <c r="N288" s="12">
        <f>'Electronic Shop Sales Dataset'!$D288*'Electronic Shop Sales Dataset'!$E288</f>
        <v>78.64</v>
      </c>
      <c r="O288" s="12" cm="1">
        <f t="array" ref="O288">_xlfn.IFS($K288="Website",$N288*0.05, $K288="Mobile App",$N288*0.05,TRUE,0)</f>
        <v>3.9320000000000004</v>
      </c>
      <c r="P288" s="14" t="str">
        <f>IF(COUNTIF($G$2:G863,G288)&gt;1,"Returning","New")</f>
        <v>New</v>
      </c>
      <c r="Q288" s="24" t="str">
        <f t="shared" si="4"/>
        <v>May</v>
      </c>
      <c r="R288" t="str">
        <v>New Arrival</v>
      </c>
    </row>
    <row r="289" spans="1:18" x14ac:dyDescent="0.25">
      <c r="A289" s="15" t="s">
        <v>31</v>
      </c>
      <c r="B289" s="16" t="str">
        <f>'Electronic Shop Sales Dataset'!$A289&amp;"-"&amp;'Electronic Shop Sales Dataset'!$C289</f>
        <v>P00022-Scanner</v>
      </c>
      <c r="C289" s="16" t="s">
        <v>71</v>
      </c>
      <c r="D289" s="17">
        <v>277.5</v>
      </c>
      <c r="E289" s="16">
        <v>4</v>
      </c>
      <c r="F289" s="16" t="s">
        <v>13</v>
      </c>
      <c r="G289" s="16" t="s">
        <v>526</v>
      </c>
      <c r="H289" s="16" t="s">
        <v>156</v>
      </c>
      <c r="I289" s="16">
        <v>41.125369999999997</v>
      </c>
      <c r="J289" s="16">
        <v>-98.268082000000007</v>
      </c>
      <c r="K289" s="16" t="s">
        <v>54</v>
      </c>
      <c r="L289" s="18">
        <v>45438</v>
      </c>
      <c r="M289" s="13">
        <f>DATEVALUE(TEXT(L289,"mm/dd/yy"))</f>
        <v>45438</v>
      </c>
      <c r="N289" s="17">
        <f>'Electronic Shop Sales Dataset'!$D289*'Electronic Shop Sales Dataset'!$E289</f>
        <v>1110</v>
      </c>
      <c r="O289" s="12" cm="1">
        <f t="array" ref="O289">_xlfn.IFS($K289="Website",$N289*0.05, $K289="Mobile App",$N289*0.05,TRUE,0)</f>
        <v>55.5</v>
      </c>
      <c r="P289" s="14" t="str">
        <f>IF(COUNTIF($G$2:G864,G289)&gt;1,"Returning","New")</f>
        <v>New</v>
      </c>
      <c r="Q289" s="24" t="str">
        <f t="shared" si="4"/>
        <v>May</v>
      </c>
      <c r="R289" t="str">
        <v>New Arrival</v>
      </c>
    </row>
    <row r="290" spans="1:18" x14ac:dyDescent="0.25">
      <c r="A290" s="10" t="s">
        <v>102</v>
      </c>
      <c r="B290" s="11" t="str">
        <f>'Electronic Shop Sales Dataset'!$A290&amp;"-"&amp;'Electronic Shop Sales Dataset'!$C290</f>
        <v>P00001-Headphones</v>
      </c>
      <c r="C290" s="11" t="s">
        <v>55</v>
      </c>
      <c r="D290" s="12">
        <v>243.04</v>
      </c>
      <c r="E290" s="11">
        <v>3</v>
      </c>
      <c r="F290" s="11" t="s">
        <v>21</v>
      </c>
      <c r="G290" s="11" t="s">
        <v>262</v>
      </c>
      <c r="H290" s="11" t="s">
        <v>37</v>
      </c>
      <c r="I290" s="11">
        <v>37.769337</v>
      </c>
      <c r="J290" s="11">
        <v>-78.169967999999997</v>
      </c>
      <c r="K290" s="11" t="s">
        <v>27</v>
      </c>
      <c r="L290" s="13">
        <v>45438</v>
      </c>
      <c r="M290" s="13">
        <f>DATEVALUE(TEXT(L290,"mm/dd/yy"))</f>
        <v>45438</v>
      </c>
      <c r="N290" s="12">
        <f>'Electronic Shop Sales Dataset'!$D290*'Electronic Shop Sales Dataset'!$E290</f>
        <v>729.12</v>
      </c>
      <c r="O290" s="12" cm="1">
        <f t="array" ref="O290">_xlfn.IFS($K290="Website",$N290*0.05, $K290="Mobile App",$N290*0.05,TRUE,0)</f>
        <v>0</v>
      </c>
      <c r="P290" s="14" t="str">
        <f>IF(COUNTIF($G$2:G865,G290)&gt;1,"Returning","New")</f>
        <v>New</v>
      </c>
      <c r="Q290" s="24" t="str">
        <f t="shared" si="4"/>
        <v>May</v>
      </c>
      <c r="R290" t="str">
        <v>New Arrival</v>
      </c>
    </row>
    <row r="291" spans="1:18" x14ac:dyDescent="0.25">
      <c r="A291" s="15" t="s">
        <v>35</v>
      </c>
      <c r="B291" s="16" t="str">
        <f>'Electronic Shop Sales Dataset'!$A291&amp;"-"&amp;'Electronic Shop Sales Dataset'!$C291</f>
        <v>P00008-Projector</v>
      </c>
      <c r="C291" s="16" t="s">
        <v>65</v>
      </c>
      <c r="D291" s="17">
        <v>745</v>
      </c>
      <c r="E291" s="16">
        <v>5</v>
      </c>
      <c r="F291" s="16" t="s">
        <v>33</v>
      </c>
      <c r="G291" s="16" t="s">
        <v>527</v>
      </c>
      <c r="H291" s="16" t="s">
        <v>110</v>
      </c>
      <c r="I291" s="16">
        <v>33.040619</v>
      </c>
      <c r="J291" s="16">
        <v>-83.643073999999999</v>
      </c>
      <c r="K291" s="16" t="s">
        <v>15</v>
      </c>
      <c r="L291" s="18">
        <v>45438</v>
      </c>
      <c r="M291" s="13">
        <f>DATEVALUE(TEXT(L291,"mm/dd/yy"))</f>
        <v>45438</v>
      </c>
      <c r="N291" s="17">
        <f>'Electronic Shop Sales Dataset'!$D291*'Electronic Shop Sales Dataset'!$E291</f>
        <v>3725</v>
      </c>
      <c r="O291" s="12" cm="1">
        <f t="array" ref="O291">_xlfn.IFS($K291="Website",$N291*0.05, $K291="Mobile App",$N291*0.05,TRUE,0)</f>
        <v>0</v>
      </c>
      <c r="P291" s="14" t="str">
        <f>IF(COUNTIF($G$2:G866,G291)&gt;1,"Returning","New")</f>
        <v>New</v>
      </c>
      <c r="Q291" s="24" t="str">
        <f t="shared" si="4"/>
        <v>May</v>
      </c>
      <c r="R291" t="str">
        <v>New Arrival</v>
      </c>
    </row>
    <row r="292" spans="1:18" x14ac:dyDescent="0.25">
      <c r="A292" s="10" t="s">
        <v>51</v>
      </c>
      <c r="B292" s="11" t="str">
        <f>'Electronic Shop Sales Dataset'!$A292&amp;"-"&amp;'Electronic Shop Sales Dataset'!$C292</f>
        <v>P00017-Smartwatch</v>
      </c>
      <c r="C292" s="11" t="s">
        <v>62</v>
      </c>
      <c r="D292" s="12">
        <v>305.69</v>
      </c>
      <c r="E292" s="11">
        <v>4</v>
      </c>
      <c r="F292" s="11" t="s">
        <v>43</v>
      </c>
      <c r="G292" s="11" t="s">
        <v>528</v>
      </c>
      <c r="H292" s="11" t="s">
        <v>45</v>
      </c>
      <c r="I292" s="11">
        <v>36.116202999999999</v>
      </c>
      <c r="J292" s="11">
        <v>-119.68156399999999</v>
      </c>
      <c r="K292" s="11" t="s">
        <v>48</v>
      </c>
      <c r="L292" s="13">
        <v>45439</v>
      </c>
      <c r="M292" s="13">
        <f>DATEVALUE(TEXT(L292,"mm/dd/yy"))</f>
        <v>45439</v>
      </c>
      <c r="N292" s="12">
        <f>'Electronic Shop Sales Dataset'!$D292*'Electronic Shop Sales Dataset'!$E292</f>
        <v>1222.76</v>
      </c>
      <c r="O292" s="12" cm="1">
        <f t="array" ref="O292">_xlfn.IFS($K292="Website",$N292*0.05, $K292="Mobile App",$N292*0.05,TRUE,0)</f>
        <v>61.138000000000005</v>
      </c>
      <c r="P292" s="14" t="str">
        <f>IF(COUNTIF($G$2:G867,G292)&gt;1,"Returning","New")</f>
        <v>New</v>
      </c>
      <c r="Q292" s="24" t="str">
        <f t="shared" si="4"/>
        <v>May</v>
      </c>
      <c r="R292" t="str">
        <v>New Arrival</v>
      </c>
    </row>
    <row r="293" spans="1:18" x14ac:dyDescent="0.25">
      <c r="A293" s="15" t="s">
        <v>79</v>
      </c>
      <c r="B293" s="16" t="str">
        <f>'Electronic Shop Sales Dataset'!$A293&amp;"-"&amp;'Electronic Shop Sales Dataset'!$C293</f>
        <v>P00012-Charger</v>
      </c>
      <c r="C293" s="16" t="s">
        <v>32</v>
      </c>
      <c r="D293" s="17">
        <v>29.09</v>
      </c>
      <c r="E293" s="16">
        <v>5</v>
      </c>
      <c r="F293" s="16" t="s">
        <v>21</v>
      </c>
      <c r="G293" s="16" t="s">
        <v>529</v>
      </c>
      <c r="H293" s="16" t="s">
        <v>87</v>
      </c>
      <c r="I293" s="16">
        <v>33.729759000000001</v>
      </c>
      <c r="J293" s="16">
        <v>-111.43122099999999</v>
      </c>
      <c r="K293" s="16" t="s">
        <v>54</v>
      </c>
      <c r="L293" s="18">
        <v>45439</v>
      </c>
      <c r="M293" s="13">
        <f>DATEVALUE(TEXT(L293,"mm/dd/yy"))</f>
        <v>45439</v>
      </c>
      <c r="N293" s="17">
        <f>'Electronic Shop Sales Dataset'!$D293*'Electronic Shop Sales Dataset'!$E293</f>
        <v>145.44999999999999</v>
      </c>
      <c r="O293" s="12" cm="1">
        <f t="array" ref="O293">_xlfn.IFS($K293="Website",$N293*0.05, $K293="Mobile App",$N293*0.05,TRUE,0)</f>
        <v>7.2725</v>
      </c>
      <c r="P293" s="14" t="str">
        <f>IF(COUNTIF($G$2:G868,G293)&gt;1,"Returning","New")</f>
        <v>New</v>
      </c>
      <c r="Q293" s="24" t="str">
        <f t="shared" si="4"/>
        <v>May</v>
      </c>
      <c r="R293" t="str">
        <v>New Arrival</v>
      </c>
    </row>
    <row r="294" spans="1:18" x14ac:dyDescent="0.25">
      <c r="A294" s="10" t="s">
        <v>90</v>
      </c>
      <c r="B294" s="11" t="str">
        <f>'Electronic Shop Sales Dataset'!$A294&amp;"-"&amp;'Electronic Shop Sales Dataset'!$C294</f>
        <v>P00014-Laptop</v>
      </c>
      <c r="C294" s="11" t="s">
        <v>89</v>
      </c>
      <c r="D294" s="12">
        <v>1790.26</v>
      </c>
      <c r="E294" s="11">
        <v>5</v>
      </c>
      <c r="F294" s="11" t="s">
        <v>21</v>
      </c>
      <c r="G294" s="11" t="s">
        <v>530</v>
      </c>
      <c r="H294" s="11" t="s">
        <v>82</v>
      </c>
      <c r="I294" s="11">
        <v>44.268543000000001</v>
      </c>
      <c r="J294" s="11">
        <v>-89.616507999999996</v>
      </c>
      <c r="K294" s="11" t="s">
        <v>27</v>
      </c>
      <c r="L294" s="13">
        <v>45440</v>
      </c>
      <c r="M294" s="13">
        <f>DATEVALUE(TEXT(L294,"mm/dd/yy"))</f>
        <v>45440</v>
      </c>
      <c r="N294" s="12">
        <f>'Electronic Shop Sales Dataset'!$D294*'Electronic Shop Sales Dataset'!$E294</f>
        <v>8951.2999999999993</v>
      </c>
      <c r="O294" s="12" cm="1">
        <f t="array" ref="O294">_xlfn.IFS($K294="Website",$N294*0.05, $K294="Mobile App",$N294*0.05,TRUE,0)</f>
        <v>0</v>
      </c>
      <c r="P294" s="14" t="str">
        <f>IF(COUNTIF($G$2:G869,G294)&gt;1,"Returning","New")</f>
        <v>New</v>
      </c>
      <c r="Q294" s="24" t="str">
        <f t="shared" si="4"/>
        <v>May</v>
      </c>
      <c r="R294" t="str">
        <v>Old Stock</v>
      </c>
    </row>
    <row r="295" spans="1:18" x14ac:dyDescent="0.25">
      <c r="A295" s="15" t="s">
        <v>38</v>
      </c>
      <c r="B295" s="16" t="str">
        <f>'Electronic Shop Sales Dataset'!$A295&amp;"-"&amp;'Electronic Shop Sales Dataset'!$C295</f>
        <v>P00007-Smart Home Hub</v>
      </c>
      <c r="C295" s="16" t="s">
        <v>42</v>
      </c>
      <c r="D295" s="17">
        <v>401.24</v>
      </c>
      <c r="E295" s="16">
        <v>5</v>
      </c>
      <c r="F295" s="16" t="s">
        <v>33</v>
      </c>
      <c r="G295" s="16" t="s">
        <v>531</v>
      </c>
      <c r="H295" s="16" t="s">
        <v>80</v>
      </c>
      <c r="I295" s="16">
        <v>39.318522999999999</v>
      </c>
      <c r="J295" s="16">
        <v>-75.507141000000004</v>
      </c>
      <c r="K295" s="16" t="s">
        <v>15</v>
      </c>
      <c r="L295" s="18">
        <v>45441</v>
      </c>
      <c r="M295" s="13">
        <f>DATEVALUE(TEXT(L295,"mm/dd/yy"))</f>
        <v>45441</v>
      </c>
      <c r="N295" s="17">
        <f>'Electronic Shop Sales Dataset'!$D295*'Electronic Shop Sales Dataset'!$E295</f>
        <v>2006.2</v>
      </c>
      <c r="O295" s="12" cm="1">
        <f t="array" ref="O295">_xlfn.IFS($K295="Website",$N295*0.05, $K295="Mobile App",$N295*0.05,TRUE,0)</f>
        <v>0</v>
      </c>
      <c r="P295" s="14" t="str">
        <f>IF(COUNTIF($G$2:G870,G295)&gt;1,"Returning","New")</f>
        <v>New</v>
      </c>
      <c r="Q295" s="24" t="str">
        <f t="shared" si="4"/>
        <v>May</v>
      </c>
      <c r="R295" t="str">
        <v>New Arrival</v>
      </c>
    </row>
    <row r="296" spans="1:18" x14ac:dyDescent="0.25">
      <c r="A296" s="10" t="s">
        <v>90</v>
      </c>
      <c r="B296" s="11" t="str">
        <f>'Electronic Shop Sales Dataset'!$A296&amp;"-"&amp;'Electronic Shop Sales Dataset'!$C296</f>
        <v>P00014-Smartwatch</v>
      </c>
      <c r="C296" s="11" t="s">
        <v>62</v>
      </c>
      <c r="D296" s="12">
        <v>186.14</v>
      </c>
      <c r="E296" s="11">
        <v>3</v>
      </c>
      <c r="F296" s="11" t="s">
        <v>43</v>
      </c>
      <c r="G296" s="11" t="s">
        <v>532</v>
      </c>
      <c r="H296" s="11" t="s">
        <v>70</v>
      </c>
      <c r="I296" s="11">
        <v>39.849426000000001</v>
      </c>
      <c r="J296" s="11">
        <v>-86.258278000000004</v>
      </c>
      <c r="K296" s="11" t="s">
        <v>23</v>
      </c>
      <c r="L296" s="13">
        <v>45442</v>
      </c>
      <c r="M296" s="13">
        <f>DATEVALUE(TEXT(L296,"mm/dd/yy"))</f>
        <v>45442</v>
      </c>
      <c r="N296" s="12">
        <f>'Electronic Shop Sales Dataset'!$D296*'Electronic Shop Sales Dataset'!$E296</f>
        <v>558.41999999999996</v>
      </c>
      <c r="O296" s="12" cm="1">
        <f t="array" ref="O296">_xlfn.IFS($K296="Website",$N296*0.05, $K296="Mobile App",$N296*0.05,TRUE,0)</f>
        <v>0</v>
      </c>
      <c r="P296" s="14" t="str">
        <f>IF(COUNTIF($G$2:G871,G296)&gt;1,"Returning","New")</f>
        <v>New</v>
      </c>
      <c r="Q296" s="24" t="str">
        <f t="shared" si="4"/>
        <v>May</v>
      </c>
      <c r="R296" t="str">
        <v>New Arrival</v>
      </c>
    </row>
    <row r="297" spans="1:18" x14ac:dyDescent="0.25">
      <c r="A297" s="15" t="s">
        <v>28</v>
      </c>
      <c r="B297" s="16" t="str">
        <f>'Electronic Shop Sales Dataset'!$A297&amp;"-"&amp;'Electronic Shop Sales Dataset'!$C297</f>
        <v>P00006-Hard Disk</v>
      </c>
      <c r="C297" s="16" t="s">
        <v>97</v>
      </c>
      <c r="D297" s="17">
        <v>112.91</v>
      </c>
      <c r="E297" s="16">
        <v>2</v>
      </c>
      <c r="F297" s="16" t="s">
        <v>43</v>
      </c>
      <c r="G297" s="16" t="s">
        <v>533</v>
      </c>
      <c r="H297" s="16" t="s">
        <v>67</v>
      </c>
      <c r="I297" s="16">
        <v>46.921925000000002</v>
      </c>
      <c r="J297" s="16">
        <v>-110.454353</v>
      </c>
      <c r="K297" s="16" t="s">
        <v>27</v>
      </c>
      <c r="L297" s="18">
        <v>45442</v>
      </c>
      <c r="M297" s="13">
        <f>DATEVALUE(TEXT(L297,"mm/dd/yy"))</f>
        <v>45442</v>
      </c>
      <c r="N297" s="17">
        <f>'Electronic Shop Sales Dataset'!$D297*'Electronic Shop Sales Dataset'!$E297</f>
        <v>225.82</v>
      </c>
      <c r="O297" s="12" cm="1">
        <f t="array" ref="O297">_xlfn.IFS($K297="Website",$N297*0.05, $K297="Mobile App",$N297*0.05,TRUE,0)</f>
        <v>0</v>
      </c>
      <c r="P297" s="14" t="str">
        <f>IF(COUNTIF($G$2:G872,G297)&gt;1,"Returning","New")</f>
        <v>New</v>
      </c>
      <c r="Q297" s="24" t="str">
        <f t="shared" si="4"/>
        <v>May</v>
      </c>
      <c r="R297" t="str">
        <v>New Arrival</v>
      </c>
    </row>
    <row r="298" spans="1:18" x14ac:dyDescent="0.25">
      <c r="A298" s="10" t="s">
        <v>84</v>
      </c>
      <c r="B298" s="11" t="str">
        <f>'Electronic Shop Sales Dataset'!$A298&amp;"-"&amp;'Electronic Shop Sales Dataset'!$C298</f>
        <v>P00020-Hard Disk</v>
      </c>
      <c r="C298" s="11" t="s">
        <v>97</v>
      </c>
      <c r="D298" s="12">
        <v>109.26</v>
      </c>
      <c r="E298" s="11">
        <v>2</v>
      </c>
      <c r="F298" s="11" t="s">
        <v>43</v>
      </c>
      <c r="G298" s="11" t="s">
        <v>534</v>
      </c>
      <c r="H298" s="11" t="s">
        <v>113</v>
      </c>
      <c r="I298" s="11">
        <v>34.969704</v>
      </c>
      <c r="J298" s="11">
        <v>-92.373123000000007</v>
      </c>
      <c r="K298" s="11" t="s">
        <v>54</v>
      </c>
      <c r="L298" s="13">
        <v>45443</v>
      </c>
      <c r="M298" s="13">
        <f>DATEVALUE(TEXT(L298,"mm/dd/yy"))</f>
        <v>45443</v>
      </c>
      <c r="N298" s="12">
        <f>'Electronic Shop Sales Dataset'!$D298*'Electronic Shop Sales Dataset'!$E298</f>
        <v>218.52</v>
      </c>
      <c r="O298" s="12" cm="1">
        <f t="array" ref="O298">_xlfn.IFS($K298="Website",$N298*0.05, $K298="Mobile App",$N298*0.05,TRUE,0)</f>
        <v>10.926000000000002</v>
      </c>
      <c r="P298" s="14" t="str">
        <f>IF(COUNTIF($G$2:G873,G298)&gt;1,"Returning","New")</f>
        <v>New</v>
      </c>
      <c r="Q298" s="24" t="str">
        <f t="shared" si="4"/>
        <v>May</v>
      </c>
      <c r="R298" t="str">
        <v>New Arrival</v>
      </c>
    </row>
    <row r="299" spans="1:18" x14ac:dyDescent="0.25">
      <c r="A299" s="15" t="s">
        <v>61</v>
      </c>
      <c r="B299" s="16" t="str">
        <f>'Electronic Shop Sales Dataset'!$A299&amp;"-"&amp;'Electronic Shop Sales Dataset'!$C299</f>
        <v>P00002-Hard Disk</v>
      </c>
      <c r="C299" s="16" t="s">
        <v>97</v>
      </c>
      <c r="D299" s="17">
        <v>104.01</v>
      </c>
      <c r="E299" s="16">
        <v>5</v>
      </c>
      <c r="F299" s="16" t="s">
        <v>13</v>
      </c>
      <c r="G299" s="16" t="s">
        <v>535</v>
      </c>
      <c r="H299" s="16" t="s">
        <v>40</v>
      </c>
      <c r="I299" s="16">
        <v>44.572020999999999</v>
      </c>
      <c r="J299" s="16">
        <v>-122.070938</v>
      </c>
      <c r="K299" s="16" t="s">
        <v>27</v>
      </c>
      <c r="L299" s="18">
        <v>45444</v>
      </c>
      <c r="M299" s="13">
        <f>DATEVALUE(TEXT(L299,"mm/dd/yy"))</f>
        <v>45444</v>
      </c>
      <c r="N299" s="17">
        <f>'Electronic Shop Sales Dataset'!$D299*'Electronic Shop Sales Dataset'!$E299</f>
        <v>520.05000000000007</v>
      </c>
      <c r="O299" s="12" cm="1">
        <f t="array" ref="O299">_xlfn.IFS($K299="Website",$N299*0.05, $K299="Mobile App",$N299*0.05,TRUE,0)</f>
        <v>0</v>
      </c>
      <c r="P299" s="14" t="str">
        <f>IF(COUNTIF($G$2:G874,G299)&gt;1,"Returning","New")</f>
        <v>New</v>
      </c>
      <c r="Q299" s="24" t="str">
        <f t="shared" si="4"/>
        <v>June</v>
      </c>
      <c r="R299" t="str">
        <v>New Arrival</v>
      </c>
    </row>
    <row r="300" spans="1:18" x14ac:dyDescent="0.25">
      <c r="A300" s="10" t="s">
        <v>60</v>
      </c>
      <c r="B300" s="11" t="str">
        <f>'Electronic Shop Sales Dataset'!$A300&amp;"-"&amp;'Electronic Shop Sales Dataset'!$C300</f>
        <v>P00015-Laptop</v>
      </c>
      <c r="C300" s="11" t="s">
        <v>89</v>
      </c>
      <c r="D300" s="12">
        <v>512.84</v>
      </c>
      <c r="E300" s="11">
        <v>2</v>
      </c>
      <c r="F300" s="11" t="s">
        <v>21</v>
      </c>
      <c r="G300" s="11" t="s">
        <v>536</v>
      </c>
      <c r="H300" s="11" t="s">
        <v>122</v>
      </c>
      <c r="I300" s="11">
        <v>42.755966000000001</v>
      </c>
      <c r="J300" s="11">
        <v>-107.30249000000001</v>
      </c>
      <c r="K300" s="11" t="s">
        <v>15</v>
      </c>
      <c r="L300" s="13">
        <v>45444</v>
      </c>
      <c r="M300" s="13">
        <f>DATEVALUE(TEXT(L300,"mm/dd/yy"))</f>
        <v>45444</v>
      </c>
      <c r="N300" s="12">
        <f>'Electronic Shop Sales Dataset'!$D300*'Electronic Shop Sales Dataset'!$E300</f>
        <v>1025.68</v>
      </c>
      <c r="O300" s="12" cm="1">
        <f t="array" ref="O300">_xlfn.IFS($K300="Website",$N300*0.05, $K300="Mobile App",$N300*0.05,TRUE,0)</f>
        <v>0</v>
      </c>
      <c r="P300" s="14" t="str">
        <f>IF(COUNTIF($G$2:G875,G300)&gt;1,"Returning","New")</f>
        <v>New</v>
      </c>
      <c r="Q300" s="24" t="str">
        <f t="shared" si="4"/>
        <v>June</v>
      </c>
      <c r="R300" t="str">
        <v>Old Stock</v>
      </c>
    </row>
    <row r="301" spans="1:18" x14ac:dyDescent="0.25">
      <c r="A301" s="15" t="s">
        <v>19</v>
      </c>
      <c r="B301" s="16" t="str">
        <f>'Electronic Shop Sales Dataset'!$A301&amp;"-"&amp;'Electronic Shop Sales Dataset'!$C301</f>
        <v>P00003-Laptop</v>
      </c>
      <c r="C301" s="16" t="s">
        <v>89</v>
      </c>
      <c r="D301" s="17">
        <v>1553.52</v>
      </c>
      <c r="E301" s="16">
        <v>4</v>
      </c>
      <c r="F301" s="16" t="s">
        <v>13</v>
      </c>
      <c r="G301" s="16" t="s">
        <v>537</v>
      </c>
      <c r="H301" s="16" t="s">
        <v>110</v>
      </c>
      <c r="I301" s="16">
        <v>33.040619</v>
      </c>
      <c r="J301" s="16">
        <v>-83.643073999999999</v>
      </c>
      <c r="K301" s="16" t="s">
        <v>27</v>
      </c>
      <c r="L301" s="18">
        <v>45446</v>
      </c>
      <c r="M301" s="13">
        <f>DATEVALUE(TEXT(L301,"mm/dd/yy"))</f>
        <v>45446</v>
      </c>
      <c r="N301" s="17">
        <f>'Electronic Shop Sales Dataset'!$D301*'Electronic Shop Sales Dataset'!$E301</f>
        <v>6214.08</v>
      </c>
      <c r="O301" s="12" cm="1">
        <f t="array" ref="O301">_xlfn.IFS($K301="Website",$N301*0.05, $K301="Mobile App",$N301*0.05,TRUE,0)</f>
        <v>0</v>
      </c>
      <c r="P301" s="14" t="str">
        <f>IF(COUNTIF($G$2:G876,G301)&gt;1,"Returning","New")</f>
        <v>New</v>
      </c>
      <c r="Q301" s="24" t="str">
        <f t="shared" si="4"/>
        <v>June</v>
      </c>
      <c r="R301" t="str">
        <v>Old Stock</v>
      </c>
    </row>
    <row r="302" spans="1:18" x14ac:dyDescent="0.25">
      <c r="A302" s="10" t="s">
        <v>38</v>
      </c>
      <c r="B302" s="11" t="str">
        <f>'Electronic Shop Sales Dataset'!$A302&amp;"-"&amp;'Electronic Shop Sales Dataset'!$C302</f>
        <v>P00007-Monitor</v>
      </c>
      <c r="C302" s="11" t="s">
        <v>25</v>
      </c>
      <c r="D302" s="12">
        <v>989.45</v>
      </c>
      <c r="E302" s="11">
        <v>5</v>
      </c>
      <c r="F302" s="11" t="s">
        <v>43</v>
      </c>
      <c r="G302" s="11" t="s">
        <v>538</v>
      </c>
      <c r="H302" s="11" t="s">
        <v>18</v>
      </c>
      <c r="I302" s="11">
        <v>47.528911999999998</v>
      </c>
      <c r="J302" s="11">
        <v>-99.784012000000004</v>
      </c>
      <c r="K302" s="11" t="s">
        <v>23</v>
      </c>
      <c r="L302" s="13">
        <v>45446</v>
      </c>
      <c r="M302" s="13">
        <f>DATEVALUE(TEXT(L302,"mm/dd/yy"))</f>
        <v>45446</v>
      </c>
      <c r="N302" s="12">
        <f>'Electronic Shop Sales Dataset'!$D302*'Electronic Shop Sales Dataset'!$E302</f>
        <v>4947.25</v>
      </c>
      <c r="O302" s="12" cm="1">
        <f t="array" ref="O302">_xlfn.IFS($K302="Website",$N302*0.05, $K302="Mobile App",$N302*0.05,TRUE,0)</f>
        <v>0</v>
      </c>
      <c r="P302" s="14" t="str">
        <f>IF(COUNTIF($G$2:G877,G302)&gt;1,"Returning","New")</f>
        <v>New</v>
      </c>
      <c r="Q302" s="24" t="str">
        <f t="shared" si="4"/>
        <v>June</v>
      </c>
      <c r="R302" t="str">
        <v>New Arrival</v>
      </c>
    </row>
    <row r="303" spans="1:18" x14ac:dyDescent="0.25">
      <c r="A303" s="15" t="s">
        <v>19</v>
      </c>
      <c r="B303" s="16" t="str">
        <f>'Electronic Shop Sales Dataset'!$A303&amp;"-"&amp;'Electronic Shop Sales Dataset'!$C303</f>
        <v>P00003-Mouse</v>
      </c>
      <c r="C303" s="16" t="s">
        <v>95</v>
      </c>
      <c r="D303" s="17">
        <v>54.91</v>
      </c>
      <c r="E303" s="16">
        <v>3</v>
      </c>
      <c r="F303" s="16" t="s">
        <v>13</v>
      </c>
      <c r="G303" s="16" t="s">
        <v>539</v>
      </c>
      <c r="H303" s="16" t="s">
        <v>93</v>
      </c>
      <c r="I303" s="16">
        <v>38.491225999999997</v>
      </c>
      <c r="J303" s="16">
        <v>-80.954455999999993</v>
      </c>
      <c r="K303" s="16" t="s">
        <v>27</v>
      </c>
      <c r="L303" s="18">
        <v>45446</v>
      </c>
      <c r="M303" s="13">
        <f>DATEVALUE(TEXT(L303,"mm/dd/yy"))</f>
        <v>45446</v>
      </c>
      <c r="N303" s="17">
        <f>'Electronic Shop Sales Dataset'!$D303*'Electronic Shop Sales Dataset'!$E303</f>
        <v>164.73</v>
      </c>
      <c r="O303" s="12" cm="1">
        <f t="array" ref="O303">_xlfn.IFS($K303="Website",$N303*0.05, $K303="Mobile App",$N303*0.05,TRUE,0)</f>
        <v>0</v>
      </c>
      <c r="P303" s="14" t="str">
        <f>IF(COUNTIF($G$2:G878,G303)&gt;1,"Returning","New")</f>
        <v>New</v>
      </c>
      <c r="Q303" s="24" t="str">
        <f t="shared" si="4"/>
        <v>June</v>
      </c>
      <c r="R303" t="str">
        <v>New Arrival</v>
      </c>
    </row>
    <row r="304" spans="1:18" x14ac:dyDescent="0.25">
      <c r="A304" s="10" t="s">
        <v>19</v>
      </c>
      <c r="B304" s="11" t="str">
        <f>'Electronic Shop Sales Dataset'!$A304&amp;"-"&amp;'Electronic Shop Sales Dataset'!$C304</f>
        <v>P00003-Printer</v>
      </c>
      <c r="C304" s="11" t="s">
        <v>52</v>
      </c>
      <c r="D304" s="12">
        <v>163.1</v>
      </c>
      <c r="E304" s="11">
        <v>4</v>
      </c>
      <c r="F304" s="11" t="s">
        <v>21</v>
      </c>
      <c r="G304" s="11" t="s">
        <v>540</v>
      </c>
      <c r="H304" s="11" t="s">
        <v>94</v>
      </c>
      <c r="I304" s="11">
        <v>41.597782000000002</v>
      </c>
      <c r="J304" s="11">
        <v>-72.755370999999997</v>
      </c>
      <c r="K304" s="11" t="s">
        <v>23</v>
      </c>
      <c r="L304" s="13">
        <v>45446</v>
      </c>
      <c r="M304" s="13">
        <f>DATEVALUE(TEXT(L304,"mm/dd/yy"))</f>
        <v>45446</v>
      </c>
      <c r="N304" s="12">
        <f>'Electronic Shop Sales Dataset'!$D304*'Electronic Shop Sales Dataset'!$E304</f>
        <v>652.4</v>
      </c>
      <c r="O304" s="12" cm="1">
        <f t="array" ref="O304">_xlfn.IFS($K304="Website",$N304*0.05, $K304="Mobile App",$N304*0.05,TRUE,0)</f>
        <v>0</v>
      </c>
      <c r="P304" s="14" t="str">
        <f>IF(COUNTIF($G$2:G879,G304)&gt;1,"Returning","New")</f>
        <v>New</v>
      </c>
      <c r="Q304" s="24" t="str">
        <f t="shared" si="4"/>
        <v>June</v>
      </c>
      <c r="R304" t="str">
        <v>New Arrival</v>
      </c>
    </row>
    <row r="305" spans="1:18" x14ac:dyDescent="0.25">
      <c r="A305" s="15" t="s">
        <v>69</v>
      </c>
      <c r="B305" s="16" t="str">
        <f>'Electronic Shop Sales Dataset'!$A305&amp;"-"&amp;'Electronic Shop Sales Dataset'!$C305</f>
        <v>P00005-Charger</v>
      </c>
      <c r="C305" s="16" t="s">
        <v>32</v>
      </c>
      <c r="D305" s="17">
        <v>23.19</v>
      </c>
      <c r="E305" s="16">
        <v>4</v>
      </c>
      <c r="F305" s="16" t="s">
        <v>43</v>
      </c>
      <c r="G305" s="16" t="s">
        <v>541</v>
      </c>
      <c r="H305" s="16" t="s">
        <v>26</v>
      </c>
      <c r="I305" s="16">
        <v>35.747844999999998</v>
      </c>
      <c r="J305" s="16">
        <v>-86.692345000000003</v>
      </c>
      <c r="K305" s="16" t="s">
        <v>54</v>
      </c>
      <c r="L305" s="18">
        <v>45447</v>
      </c>
      <c r="M305" s="13">
        <f>DATEVALUE(TEXT(L305,"mm/dd/yy"))</f>
        <v>45447</v>
      </c>
      <c r="N305" s="17">
        <f>'Electronic Shop Sales Dataset'!$D305*'Electronic Shop Sales Dataset'!$E305</f>
        <v>92.76</v>
      </c>
      <c r="O305" s="12" cm="1">
        <f t="array" ref="O305">_xlfn.IFS($K305="Website",$N305*0.05, $K305="Mobile App",$N305*0.05,TRUE,0)</f>
        <v>4.6380000000000008</v>
      </c>
      <c r="P305" s="14" t="str">
        <f>IF(COUNTIF($G$2:G880,G305)&gt;1,"Returning","New")</f>
        <v>New</v>
      </c>
      <c r="Q305" s="24" t="str">
        <f t="shared" si="4"/>
        <v>June</v>
      </c>
      <c r="R305" t="str">
        <v>New Arrival</v>
      </c>
    </row>
    <row r="306" spans="1:18" x14ac:dyDescent="0.25">
      <c r="A306" s="10" t="s">
        <v>11</v>
      </c>
      <c r="B306" s="11" t="str">
        <f>'Electronic Shop Sales Dataset'!$A306&amp;"-"&amp;'Electronic Shop Sales Dataset'!$C306</f>
        <v>P00019-Camera</v>
      </c>
      <c r="C306" s="11" t="s">
        <v>46</v>
      </c>
      <c r="D306" s="12">
        <v>2126.5500000000002</v>
      </c>
      <c r="E306" s="11">
        <v>5</v>
      </c>
      <c r="F306" s="11" t="s">
        <v>33</v>
      </c>
      <c r="G306" s="11" t="s">
        <v>247</v>
      </c>
      <c r="H306" s="11" t="s">
        <v>53</v>
      </c>
      <c r="I306" s="11">
        <v>40.298904</v>
      </c>
      <c r="J306" s="11">
        <v>-74.521011000000001</v>
      </c>
      <c r="K306" s="11" t="s">
        <v>23</v>
      </c>
      <c r="L306" s="13">
        <v>45448</v>
      </c>
      <c r="M306" s="13">
        <f>DATEVALUE(TEXT(L306,"mm/dd/yy"))</f>
        <v>45448</v>
      </c>
      <c r="N306" s="12">
        <f>'Electronic Shop Sales Dataset'!$D306*'Electronic Shop Sales Dataset'!$E306</f>
        <v>10632.75</v>
      </c>
      <c r="O306" s="12" cm="1">
        <f t="array" ref="O306">_xlfn.IFS($K306="Website",$N306*0.05, $K306="Mobile App",$N306*0.05,TRUE,0)</f>
        <v>0</v>
      </c>
      <c r="P306" s="14" t="str">
        <f>IF(COUNTIF($G$2:G881,G306)&gt;1,"Returning","New")</f>
        <v>New</v>
      </c>
      <c r="Q306" s="24" t="str">
        <f t="shared" si="4"/>
        <v>June</v>
      </c>
      <c r="R306" t="str">
        <v>New Arrival</v>
      </c>
    </row>
    <row r="307" spans="1:18" x14ac:dyDescent="0.25">
      <c r="A307" s="15" t="s">
        <v>19</v>
      </c>
      <c r="B307" s="16" t="str">
        <f>'Electronic Shop Sales Dataset'!$A307&amp;"-"&amp;'Electronic Shop Sales Dataset'!$C307</f>
        <v>P00003-Scanner</v>
      </c>
      <c r="C307" s="16" t="s">
        <v>71</v>
      </c>
      <c r="D307" s="17">
        <v>274.16000000000003</v>
      </c>
      <c r="E307" s="16">
        <v>3</v>
      </c>
      <c r="F307" s="16" t="s">
        <v>13</v>
      </c>
      <c r="G307" s="16" t="s">
        <v>542</v>
      </c>
      <c r="H307" s="16" t="s">
        <v>76</v>
      </c>
      <c r="I307" s="16">
        <v>33.856892000000002</v>
      </c>
      <c r="J307" s="16">
        <v>-80.945007000000004</v>
      </c>
      <c r="K307" s="16" t="s">
        <v>23</v>
      </c>
      <c r="L307" s="18">
        <v>45451</v>
      </c>
      <c r="M307" s="13">
        <f>DATEVALUE(TEXT(L307,"mm/dd/yy"))</f>
        <v>45451</v>
      </c>
      <c r="N307" s="17">
        <f>'Electronic Shop Sales Dataset'!$D307*'Electronic Shop Sales Dataset'!$E307</f>
        <v>822.48</v>
      </c>
      <c r="O307" s="12" cm="1">
        <f t="array" ref="O307">_xlfn.IFS($K307="Website",$N307*0.05, $K307="Mobile App",$N307*0.05,TRUE,0)</f>
        <v>0</v>
      </c>
      <c r="P307" s="14" t="str">
        <f>IF(COUNTIF($G$2:G882,G307)&gt;1,"Returning","New")</f>
        <v>New</v>
      </c>
      <c r="Q307" s="24" t="str">
        <f t="shared" si="4"/>
        <v>June</v>
      </c>
      <c r="R307" t="str">
        <v>New Arrival</v>
      </c>
    </row>
    <row r="308" spans="1:18" x14ac:dyDescent="0.25">
      <c r="A308" s="10" t="s">
        <v>92</v>
      </c>
      <c r="B308" s="11" t="str">
        <f>'Electronic Shop Sales Dataset'!$A308&amp;"-"&amp;'Electronic Shop Sales Dataset'!$C308</f>
        <v>P00004-Drone</v>
      </c>
      <c r="C308" s="11" t="s">
        <v>20</v>
      </c>
      <c r="D308" s="12">
        <v>1084.74</v>
      </c>
      <c r="E308" s="11">
        <v>4</v>
      </c>
      <c r="F308" s="11" t="s">
        <v>21</v>
      </c>
      <c r="G308" s="11" t="s">
        <v>543</v>
      </c>
      <c r="H308" s="11" t="s">
        <v>116</v>
      </c>
      <c r="I308" s="11">
        <v>43.452491999999999</v>
      </c>
      <c r="J308" s="11">
        <v>-71.563896</v>
      </c>
      <c r="K308" s="11" t="s">
        <v>27</v>
      </c>
      <c r="L308" s="13">
        <v>45452</v>
      </c>
      <c r="M308" s="13">
        <f>DATEVALUE(TEXT(L308,"mm/dd/yy"))</f>
        <v>45452</v>
      </c>
      <c r="N308" s="12">
        <f>'Electronic Shop Sales Dataset'!$D308*'Electronic Shop Sales Dataset'!$E308</f>
        <v>4338.96</v>
      </c>
      <c r="O308" s="12" cm="1">
        <f t="array" ref="O308">_xlfn.IFS($K308="Website",$N308*0.05, $K308="Mobile App",$N308*0.05,TRUE,0)</f>
        <v>0</v>
      </c>
      <c r="P308" s="14" t="str">
        <f>IF(COUNTIF($G$2:G883,G308)&gt;1,"Returning","New")</f>
        <v>New</v>
      </c>
      <c r="Q308" s="24" t="str">
        <f t="shared" si="4"/>
        <v>June</v>
      </c>
      <c r="R308" t="str">
        <v>New Arrival</v>
      </c>
    </row>
    <row r="309" spans="1:18" x14ac:dyDescent="0.25">
      <c r="A309" s="15" t="s">
        <v>60</v>
      </c>
      <c r="B309" s="16" t="str">
        <f>'Electronic Shop Sales Dataset'!$A309&amp;"-"&amp;'Electronic Shop Sales Dataset'!$C309</f>
        <v>P00015-Keyboard</v>
      </c>
      <c r="C309" s="16" t="s">
        <v>29</v>
      </c>
      <c r="D309" s="17">
        <v>147.19999999999999</v>
      </c>
      <c r="E309" s="16">
        <v>5</v>
      </c>
      <c r="F309" s="16" t="s">
        <v>13</v>
      </c>
      <c r="G309" s="16" t="s">
        <v>544</v>
      </c>
      <c r="H309" s="16" t="s">
        <v>85</v>
      </c>
      <c r="I309" s="16">
        <v>31.169546</v>
      </c>
      <c r="J309" s="16">
        <v>-91.867805000000004</v>
      </c>
      <c r="K309" s="16" t="s">
        <v>48</v>
      </c>
      <c r="L309" s="18">
        <v>45452</v>
      </c>
      <c r="M309" s="13">
        <f>DATEVALUE(TEXT(L309,"mm/dd/yy"))</f>
        <v>45452</v>
      </c>
      <c r="N309" s="17">
        <f>'Electronic Shop Sales Dataset'!$D309*'Electronic Shop Sales Dataset'!$E309</f>
        <v>736</v>
      </c>
      <c r="O309" s="12" cm="1">
        <f t="array" ref="O309">_xlfn.IFS($K309="Website",$N309*0.05, $K309="Mobile App",$N309*0.05,TRUE,0)</f>
        <v>36.800000000000004</v>
      </c>
      <c r="P309" s="14" t="str">
        <f>IF(COUNTIF($G$2:G884,G309)&gt;1,"Returning","New")</f>
        <v>New</v>
      </c>
      <c r="Q309" s="24" t="str">
        <f t="shared" si="4"/>
        <v>June</v>
      </c>
      <c r="R309" t="str">
        <v>New Arrival</v>
      </c>
    </row>
    <row r="310" spans="1:18" x14ac:dyDescent="0.25">
      <c r="A310" s="10" t="s">
        <v>11</v>
      </c>
      <c r="B310" s="11" t="str">
        <f>'Electronic Shop Sales Dataset'!$A310&amp;"-"&amp;'Electronic Shop Sales Dataset'!$C310</f>
        <v>P00019-Mouse</v>
      </c>
      <c r="C310" s="11" t="s">
        <v>95</v>
      </c>
      <c r="D310" s="12">
        <v>60.97</v>
      </c>
      <c r="E310" s="11">
        <v>3</v>
      </c>
      <c r="F310" s="11" t="s">
        <v>13</v>
      </c>
      <c r="G310" s="11" t="s">
        <v>264</v>
      </c>
      <c r="H310" s="11" t="s">
        <v>40</v>
      </c>
      <c r="I310" s="11">
        <v>44.572020999999999</v>
      </c>
      <c r="J310" s="11">
        <v>-122.070938</v>
      </c>
      <c r="K310" s="11" t="s">
        <v>27</v>
      </c>
      <c r="L310" s="13">
        <v>45454</v>
      </c>
      <c r="M310" s="13">
        <f>DATEVALUE(TEXT(L310,"mm/dd/yy"))</f>
        <v>45454</v>
      </c>
      <c r="N310" s="12">
        <f>'Electronic Shop Sales Dataset'!$D310*'Electronic Shop Sales Dataset'!$E310</f>
        <v>182.91</v>
      </c>
      <c r="O310" s="12" cm="1">
        <f t="array" ref="O310">_xlfn.IFS($K310="Website",$N310*0.05, $K310="Mobile App",$N310*0.05,TRUE,0)</f>
        <v>0</v>
      </c>
      <c r="P310" s="14" t="str">
        <f>IF(COUNTIF($G$2:G885,G310)&gt;1,"Returning","New")</f>
        <v>New</v>
      </c>
      <c r="Q310" s="24" t="str">
        <f t="shared" si="4"/>
        <v>June</v>
      </c>
      <c r="R310" t="str">
        <v>New Arrival</v>
      </c>
    </row>
    <row r="311" spans="1:18" x14ac:dyDescent="0.25">
      <c r="A311" s="15" t="s">
        <v>16</v>
      </c>
      <c r="B311" s="16" t="str">
        <f>'Electronic Shop Sales Dataset'!$A311&amp;"-"&amp;'Electronic Shop Sales Dataset'!$C311</f>
        <v>P00010-Power Bank</v>
      </c>
      <c r="C311" s="16" t="s">
        <v>124</v>
      </c>
      <c r="D311" s="17">
        <v>57.42</v>
      </c>
      <c r="E311" s="16">
        <v>1</v>
      </c>
      <c r="F311" s="16" t="s">
        <v>43</v>
      </c>
      <c r="G311" s="16" t="s">
        <v>545</v>
      </c>
      <c r="H311" s="16" t="s">
        <v>70</v>
      </c>
      <c r="I311" s="16">
        <v>39.849426000000001</v>
      </c>
      <c r="J311" s="16">
        <v>-86.258278000000004</v>
      </c>
      <c r="K311" s="16" t="s">
        <v>54</v>
      </c>
      <c r="L311" s="18">
        <v>45455</v>
      </c>
      <c r="M311" s="13">
        <f>DATEVALUE(TEXT(L311,"mm/dd/yy"))</f>
        <v>45455</v>
      </c>
      <c r="N311" s="17">
        <f>'Electronic Shop Sales Dataset'!$D311*'Electronic Shop Sales Dataset'!$E311</f>
        <v>57.42</v>
      </c>
      <c r="O311" s="12" cm="1">
        <f t="array" ref="O311">_xlfn.IFS($K311="Website",$N311*0.05, $K311="Mobile App",$N311*0.05,TRUE,0)</f>
        <v>2.8710000000000004</v>
      </c>
      <c r="P311" s="14" t="str">
        <f>IF(COUNTIF($G$2:G886,G311)&gt;1,"Returning","New")</f>
        <v>New</v>
      </c>
      <c r="Q311" s="24" t="str">
        <f t="shared" si="4"/>
        <v>June</v>
      </c>
      <c r="R311" t="str">
        <v>New Arrival</v>
      </c>
    </row>
    <row r="312" spans="1:18" x14ac:dyDescent="0.25">
      <c r="A312" s="10" t="s">
        <v>51</v>
      </c>
      <c r="B312" s="11" t="str">
        <f>'Electronic Shop Sales Dataset'!$A312&amp;"-"&amp;'Electronic Shop Sales Dataset'!$C312</f>
        <v>P00017-Graphics Card</v>
      </c>
      <c r="C312" s="11" t="s">
        <v>125</v>
      </c>
      <c r="D312" s="12">
        <v>900.81</v>
      </c>
      <c r="E312" s="11">
        <v>3</v>
      </c>
      <c r="F312" s="11" t="s">
        <v>13</v>
      </c>
      <c r="G312" s="11" t="s">
        <v>546</v>
      </c>
      <c r="H312" s="11" t="s">
        <v>76</v>
      </c>
      <c r="I312" s="11">
        <v>33.856892000000002</v>
      </c>
      <c r="J312" s="11">
        <v>-80.945007000000004</v>
      </c>
      <c r="K312" s="11" t="s">
        <v>48</v>
      </c>
      <c r="L312" s="13">
        <v>45456</v>
      </c>
      <c r="M312" s="13">
        <f>DATEVALUE(TEXT(L312,"mm/dd/yy"))</f>
        <v>45456</v>
      </c>
      <c r="N312" s="12">
        <f>'Electronic Shop Sales Dataset'!$D312*'Electronic Shop Sales Dataset'!$E312</f>
        <v>2702.43</v>
      </c>
      <c r="O312" s="12" cm="1">
        <f t="array" ref="O312">_xlfn.IFS($K312="Website",$N312*0.05, $K312="Mobile App",$N312*0.05,TRUE,0)</f>
        <v>135.1215</v>
      </c>
      <c r="P312" s="14" t="str">
        <f>IF(COUNTIF($G$2:G887,G312)&gt;1,"Returning","New")</f>
        <v>New</v>
      </c>
      <c r="Q312" s="24" t="str">
        <f t="shared" si="4"/>
        <v>June</v>
      </c>
      <c r="R312" t="str">
        <v>New Arrival</v>
      </c>
    </row>
    <row r="313" spans="1:18" x14ac:dyDescent="0.25">
      <c r="A313" s="15" t="s">
        <v>38</v>
      </c>
      <c r="B313" s="16" t="str">
        <f>'Electronic Shop Sales Dataset'!$A313&amp;"-"&amp;'Electronic Shop Sales Dataset'!$C313</f>
        <v>P00007-Graphics Card</v>
      </c>
      <c r="C313" s="16" t="s">
        <v>125</v>
      </c>
      <c r="D313" s="17">
        <v>1414.32</v>
      </c>
      <c r="E313" s="16">
        <v>4</v>
      </c>
      <c r="F313" s="16" t="s">
        <v>13</v>
      </c>
      <c r="G313" s="16" t="s">
        <v>547</v>
      </c>
      <c r="H313" s="16" t="s">
        <v>143</v>
      </c>
      <c r="I313" s="16">
        <v>35.565342000000001</v>
      </c>
      <c r="J313" s="16">
        <v>-96.928916999999998</v>
      </c>
      <c r="K313" s="16" t="s">
        <v>23</v>
      </c>
      <c r="L313" s="18">
        <v>45456</v>
      </c>
      <c r="M313" s="13">
        <f>DATEVALUE(TEXT(L313,"mm/dd/yy"))</f>
        <v>45456</v>
      </c>
      <c r="N313" s="17">
        <f>'Electronic Shop Sales Dataset'!$D313*'Electronic Shop Sales Dataset'!$E313</f>
        <v>5657.28</v>
      </c>
      <c r="O313" s="12" cm="1">
        <f t="array" ref="O313">_xlfn.IFS($K313="Website",$N313*0.05, $K313="Mobile App",$N313*0.05,TRUE,0)</f>
        <v>0</v>
      </c>
      <c r="P313" s="14" t="str">
        <f>IF(COUNTIF($G$2:G888,G313)&gt;1,"Returning","New")</f>
        <v>New</v>
      </c>
      <c r="Q313" s="24" t="str">
        <f t="shared" si="4"/>
        <v>June</v>
      </c>
      <c r="R313" t="str">
        <v>New Arrival</v>
      </c>
    </row>
    <row r="314" spans="1:18" x14ac:dyDescent="0.25">
      <c r="A314" s="10" t="s">
        <v>35</v>
      </c>
      <c r="B314" s="11" t="str">
        <f>'Electronic Shop Sales Dataset'!$A314&amp;"-"&amp;'Electronic Shop Sales Dataset'!$C314</f>
        <v>P00008-VR Headset</v>
      </c>
      <c r="C314" s="11" t="s">
        <v>72</v>
      </c>
      <c r="D314" s="12">
        <v>663.19</v>
      </c>
      <c r="E314" s="11">
        <v>3</v>
      </c>
      <c r="F314" s="11" t="s">
        <v>21</v>
      </c>
      <c r="G314" s="11" t="s">
        <v>548</v>
      </c>
      <c r="H314" s="11" t="s">
        <v>40</v>
      </c>
      <c r="I314" s="11">
        <v>44.572020999999999</v>
      </c>
      <c r="J314" s="11">
        <v>-122.070938</v>
      </c>
      <c r="K314" s="11" t="s">
        <v>27</v>
      </c>
      <c r="L314" s="13">
        <v>45457</v>
      </c>
      <c r="M314" s="13">
        <f>DATEVALUE(TEXT(L314,"mm/dd/yy"))</f>
        <v>45457</v>
      </c>
      <c r="N314" s="12">
        <f>'Electronic Shop Sales Dataset'!$D314*'Electronic Shop Sales Dataset'!$E314</f>
        <v>1989.5700000000002</v>
      </c>
      <c r="O314" s="12" cm="1">
        <f t="array" ref="O314">_xlfn.IFS($K314="Website",$N314*0.05, $K314="Mobile App",$N314*0.05,TRUE,0)</f>
        <v>0</v>
      </c>
      <c r="P314" s="14" t="str">
        <f>IF(COUNTIF($G$2:G889,G314)&gt;1,"Returning","New")</f>
        <v>New</v>
      </c>
      <c r="Q314" s="24" t="str">
        <f t="shared" si="4"/>
        <v>June</v>
      </c>
      <c r="R314" t="str">
        <v>New Arrival</v>
      </c>
    </row>
    <row r="315" spans="1:18" x14ac:dyDescent="0.25">
      <c r="A315" s="15" t="s">
        <v>38</v>
      </c>
      <c r="B315" s="16" t="str">
        <f>'Electronic Shop Sales Dataset'!$A315&amp;"-"&amp;'Electronic Shop Sales Dataset'!$C315</f>
        <v>P00007-Gaming Console</v>
      </c>
      <c r="C315" s="16" t="s">
        <v>17</v>
      </c>
      <c r="D315" s="17">
        <v>465.65</v>
      </c>
      <c r="E315" s="16">
        <v>1</v>
      </c>
      <c r="F315" s="16" t="s">
        <v>21</v>
      </c>
      <c r="G315" s="16" t="s">
        <v>549</v>
      </c>
      <c r="H315" s="16" t="s">
        <v>80</v>
      </c>
      <c r="I315" s="16">
        <v>39.318522999999999</v>
      </c>
      <c r="J315" s="16">
        <v>-75.507141000000004</v>
      </c>
      <c r="K315" s="16" t="s">
        <v>15</v>
      </c>
      <c r="L315" s="18">
        <v>45457</v>
      </c>
      <c r="M315" s="13">
        <f>DATEVALUE(TEXT(L315,"mm/dd/yy"))</f>
        <v>45457</v>
      </c>
      <c r="N315" s="17">
        <f>'Electronic Shop Sales Dataset'!$D315*'Electronic Shop Sales Dataset'!$E315</f>
        <v>465.65</v>
      </c>
      <c r="O315" s="12" cm="1">
        <f t="array" ref="O315">_xlfn.IFS($K315="Website",$N315*0.05, $K315="Mobile App",$N315*0.05,TRUE,0)</f>
        <v>0</v>
      </c>
      <c r="P315" s="14" t="str">
        <f>IF(COUNTIF($G$2:G890,G315)&gt;1,"Returning","New")</f>
        <v>New</v>
      </c>
      <c r="Q315" s="24" t="str">
        <f t="shared" si="4"/>
        <v>June</v>
      </c>
      <c r="R315" t="str">
        <v>New Arrival</v>
      </c>
    </row>
    <row r="316" spans="1:18" x14ac:dyDescent="0.25">
      <c r="A316" s="10" t="s">
        <v>16</v>
      </c>
      <c r="B316" s="11" t="str">
        <f>'Electronic Shop Sales Dataset'!$A316&amp;"-"&amp;'Electronic Shop Sales Dataset'!$C316</f>
        <v>P00010-Scanner</v>
      </c>
      <c r="C316" s="11" t="s">
        <v>71</v>
      </c>
      <c r="D316" s="12">
        <v>281.63</v>
      </c>
      <c r="E316" s="11">
        <v>3</v>
      </c>
      <c r="F316" s="11" t="s">
        <v>43</v>
      </c>
      <c r="G316" s="11" t="s">
        <v>550</v>
      </c>
      <c r="H316" s="11" t="s">
        <v>112</v>
      </c>
      <c r="I316" s="11">
        <v>39.063946000000001</v>
      </c>
      <c r="J316" s="11">
        <v>-76.802100999999993</v>
      </c>
      <c r="K316" s="11" t="s">
        <v>27</v>
      </c>
      <c r="L316" s="13">
        <v>45458</v>
      </c>
      <c r="M316" s="13">
        <f>DATEVALUE(TEXT(L316,"mm/dd/yy"))</f>
        <v>45458</v>
      </c>
      <c r="N316" s="12">
        <f>'Electronic Shop Sales Dataset'!$D316*'Electronic Shop Sales Dataset'!$E316</f>
        <v>844.89</v>
      </c>
      <c r="O316" s="12" cm="1">
        <f t="array" ref="O316">_xlfn.IFS($K316="Website",$N316*0.05, $K316="Mobile App",$N316*0.05,TRUE,0)</f>
        <v>0</v>
      </c>
      <c r="P316" s="14" t="str">
        <f>IF(COUNTIF($G$2:G891,G316)&gt;1,"Returning","New")</f>
        <v>New</v>
      </c>
      <c r="Q316" s="24" t="str">
        <f t="shared" si="4"/>
        <v>June</v>
      </c>
      <c r="R316" t="str">
        <v>New Arrival</v>
      </c>
    </row>
    <row r="317" spans="1:18" x14ac:dyDescent="0.25">
      <c r="A317" s="15" t="s">
        <v>51</v>
      </c>
      <c r="B317" s="16" t="str">
        <f>'Electronic Shop Sales Dataset'!$A317&amp;"-"&amp;'Electronic Shop Sales Dataset'!$C317</f>
        <v>P00017-Speaker</v>
      </c>
      <c r="C317" s="16" t="s">
        <v>106</v>
      </c>
      <c r="D317" s="17">
        <v>154.22999999999999</v>
      </c>
      <c r="E317" s="16">
        <v>5</v>
      </c>
      <c r="F317" s="16" t="s">
        <v>13</v>
      </c>
      <c r="G317" s="16" t="s">
        <v>551</v>
      </c>
      <c r="H317" s="16" t="s">
        <v>104</v>
      </c>
      <c r="I317" s="16">
        <v>61.370716000000002</v>
      </c>
      <c r="J317" s="16">
        <v>-152.40441899999999</v>
      </c>
      <c r="K317" s="16" t="s">
        <v>54</v>
      </c>
      <c r="L317" s="18">
        <v>45458</v>
      </c>
      <c r="M317" s="13">
        <f>DATEVALUE(TEXT(L317,"mm/dd/yy"))</f>
        <v>45458</v>
      </c>
      <c r="N317" s="17">
        <f>'Electronic Shop Sales Dataset'!$D317*'Electronic Shop Sales Dataset'!$E317</f>
        <v>771.15</v>
      </c>
      <c r="O317" s="12" cm="1">
        <f t="array" ref="O317">_xlfn.IFS($K317="Website",$N317*0.05, $K317="Mobile App",$N317*0.05,TRUE,0)</f>
        <v>38.557500000000005</v>
      </c>
      <c r="P317" s="14" t="str">
        <f>IF(COUNTIF($G$2:G892,G317)&gt;1,"Returning","New")</f>
        <v>New</v>
      </c>
      <c r="Q317" s="24" t="str">
        <f t="shared" si="4"/>
        <v>June</v>
      </c>
      <c r="R317" t="str">
        <v>New Arrival</v>
      </c>
    </row>
    <row r="318" spans="1:18" x14ac:dyDescent="0.25">
      <c r="A318" s="10" t="s">
        <v>90</v>
      </c>
      <c r="B318" s="11" t="str">
        <f>'Electronic Shop Sales Dataset'!$A318&amp;"-"&amp;'Electronic Shop Sales Dataset'!$C318</f>
        <v>P00014-Charger</v>
      </c>
      <c r="C318" s="11" t="s">
        <v>32</v>
      </c>
      <c r="D318" s="12">
        <v>20.36</v>
      </c>
      <c r="E318" s="11">
        <v>2</v>
      </c>
      <c r="F318" s="11" t="s">
        <v>13</v>
      </c>
      <c r="G318" s="11" t="s">
        <v>552</v>
      </c>
      <c r="H318" s="11" t="s">
        <v>87</v>
      </c>
      <c r="I318" s="11">
        <v>33.729759000000001</v>
      </c>
      <c r="J318" s="11">
        <v>-111.43122099999999</v>
      </c>
      <c r="K318" s="11" t="s">
        <v>27</v>
      </c>
      <c r="L318" s="13">
        <v>45460</v>
      </c>
      <c r="M318" s="13">
        <f>DATEVALUE(TEXT(L318,"mm/dd/yy"))</f>
        <v>45460</v>
      </c>
      <c r="N318" s="12">
        <f>'Electronic Shop Sales Dataset'!$D318*'Electronic Shop Sales Dataset'!$E318</f>
        <v>40.72</v>
      </c>
      <c r="O318" s="12" cm="1">
        <f t="array" ref="O318">_xlfn.IFS($K318="Website",$N318*0.05, $K318="Mobile App",$N318*0.05,TRUE,0)</f>
        <v>0</v>
      </c>
      <c r="P318" s="14" t="str">
        <f>IF(COUNTIF($G$2:G893,G318)&gt;1,"Returning","New")</f>
        <v>New</v>
      </c>
      <c r="Q318" s="24" t="str">
        <f t="shared" si="4"/>
        <v>June</v>
      </c>
      <c r="R318" t="str">
        <v>New Arrival</v>
      </c>
    </row>
    <row r="319" spans="1:18" x14ac:dyDescent="0.25">
      <c r="A319" s="15" t="s">
        <v>11</v>
      </c>
      <c r="B319" s="16" t="str">
        <f>'Electronic Shop Sales Dataset'!$A319&amp;"-"&amp;'Electronic Shop Sales Dataset'!$C319</f>
        <v>P00019-Smartphone</v>
      </c>
      <c r="C319" s="16" t="s">
        <v>12</v>
      </c>
      <c r="D319" s="17">
        <v>935.18</v>
      </c>
      <c r="E319" s="16">
        <v>2</v>
      </c>
      <c r="F319" s="16" t="s">
        <v>33</v>
      </c>
      <c r="G319" s="16" t="s">
        <v>553</v>
      </c>
      <c r="H319" s="16" t="s">
        <v>110</v>
      </c>
      <c r="I319" s="16">
        <v>33.040619</v>
      </c>
      <c r="J319" s="16">
        <v>-83.643073999999999</v>
      </c>
      <c r="K319" s="16" t="s">
        <v>48</v>
      </c>
      <c r="L319" s="18">
        <v>45461</v>
      </c>
      <c r="M319" s="13">
        <f>DATEVALUE(TEXT(L319,"mm/dd/yy"))</f>
        <v>45461</v>
      </c>
      <c r="N319" s="17">
        <f>'Electronic Shop Sales Dataset'!$D319*'Electronic Shop Sales Dataset'!$E319</f>
        <v>1870.36</v>
      </c>
      <c r="O319" s="12" cm="1">
        <f t="array" ref="O319">_xlfn.IFS($K319="Website",$N319*0.05, $K319="Mobile App",$N319*0.05,TRUE,0)</f>
        <v>93.518000000000001</v>
      </c>
      <c r="P319" s="14" t="str">
        <f>IF(COUNTIF($G$2:G894,G319)&gt;1,"Returning","New")</f>
        <v>New</v>
      </c>
      <c r="Q319" s="24" t="str">
        <f t="shared" si="4"/>
        <v>June</v>
      </c>
      <c r="R319" t="str">
        <v>New Arrival</v>
      </c>
    </row>
    <row r="320" spans="1:18" x14ac:dyDescent="0.25">
      <c r="A320" s="10" t="s">
        <v>79</v>
      </c>
      <c r="B320" s="11" t="str">
        <f>'Electronic Shop Sales Dataset'!$A320&amp;"-"&amp;'Electronic Shop Sales Dataset'!$C320</f>
        <v>P00012-Smart Home Hub</v>
      </c>
      <c r="C320" s="11" t="s">
        <v>42</v>
      </c>
      <c r="D320" s="12">
        <v>311.73</v>
      </c>
      <c r="E320" s="11">
        <v>1</v>
      </c>
      <c r="F320" s="11" t="s">
        <v>13</v>
      </c>
      <c r="G320" s="11" t="s">
        <v>554</v>
      </c>
      <c r="H320" s="11" t="s">
        <v>107</v>
      </c>
      <c r="I320" s="11">
        <v>38.526600000000002</v>
      </c>
      <c r="J320" s="11">
        <v>-96.726485999999994</v>
      </c>
      <c r="K320" s="11" t="s">
        <v>15</v>
      </c>
      <c r="L320" s="13">
        <v>45461</v>
      </c>
      <c r="M320" s="13">
        <f>DATEVALUE(TEXT(L320,"mm/dd/yy"))</f>
        <v>45461</v>
      </c>
      <c r="N320" s="12">
        <f>'Electronic Shop Sales Dataset'!$D320*'Electronic Shop Sales Dataset'!$E320</f>
        <v>311.73</v>
      </c>
      <c r="O320" s="12" cm="1">
        <f t="array" ref="O320">_xlfn.IFS($K320="Website",$N320*0.05, $K320="Mobile App",$N320*0.05,TRUE,0)</f>
        <v>0</v>
      </c>
      <c r="P320" s="14" t="str">
        <f>IF(COUNTIF($G$2:G895,G320)&gt;1,"Returning","New")</f>
        <v>New</v>
      </c>
      <c r="Q320" s="24" t="str">
        <f t="shared" si="4"/>
        <v>June</v>
      </c>
      <c r="R320" t="str">
        <v>New Arrival</v>
      </c>
    </row>
    <row r="321" spans="1:18" x14ac:dyDescent="0.25">
      <c r="A321" s="15" t="s">
        <v>84</v>
      </c>
      <c r="B321" s="16" t="str">
        <f>'Electronic Shop Sales Dataset'!$A321&amp;"-"&amp;'Electronic Shop Sales Dataset'!$C321</f>
        <v>P00020-Camera</v>
      </c>
      <c r="C321" s="16" t="s">
        <v>46</v>
      </c>
      <c r="D321" s="17">
        <v>1149.02</v>
      </c>
      <c r="E321" s="16">
        <v>3</v>
      </c>
      <c r="F321" s="16" t="s">
        <v>43</v>
      </c>
      <c r="G321" s="16" t="s">
        <v>555</v>
      </c>
      <c r="H321" s="16" t="s">
        <v>37</v>
      </c>
      <c r="I321" s="16">
        <v>37.769337</v>
      </c>
      <c r="J321" s="16">
        <v>-78.169967999999997</v>
      </c>
      <c r="K321" s="16" t="s">
        <v>54</v>
      </c>
      <c r="L321" s="18">
        <v>45462</v>
      </c>
      <c r="M321" s="13">
        <f>DATEVALUE(TEXT(L321,"mm/dd/yy"))</f>
        <v>45462</v>
      </c>
      <c r="N321" s="17">
        <f>'Electronic Shop Sales Dataset'!$D321*'Electronic Shop Sales Dataset'!$E321</f>
        <v>3447.06</v>
      </c>
      <c r="O321" s="12" cm="1">
        <f t="array" ref="O321">_xlfn.IFS($K321="Website",$N321*0.05, $K321="Mobile App",$N321*0.05,TRUE,0)</f>
        <v>172.35300000000001</v>
      </c>
      <c r="P321" s="14" t="str">
        <f>IF(COUNTIF($G$2:G896,G321)&gt;1,"Returning","New")</f>
        <v>New</v>
      </c>
      <c r="Q321" s="24" t="str">
        <f t="shared" si="4"/>
        <v>June</v>
      </c>
      <c r="R321" t="str">
        <v>New Arrival</v>
      </c>
    </row>
    <row r="322" spans="1:18" x14ac:dyDescent="0.25">
      <c r="A322" s="10" t="s">
        <v>92</v>
      </c>
      <c r="B322" s="11" t="str">
        <f>'Electronic Shop Sales Dataset'!$A322&amp;"-"&amp;'Electronic Shop Sales Dataset'!$C322</f>
        <v>P00004-Mouse</v>
      </c>
      <c r="C322" s="11" t="s">
        <v>95</v>
      </c>
      <c r="D322" s="12">
        <v>34.520000000000003</v>
      </c>
      <c r="E322" s="11">
        <v>2</v>
      </c>
      <c r="F322" s="11" t="s">
        <v>33</v>
      </c>
      <c r="G322" s="11" t="s">
        <v>556</v>
      </c>
      <c r="H322" s="11" t="s">
        <v>122</v>
      </c>
      <c r="I322" s="11">
        <v>42.755966000000001</v>
      </c>
      <c r="J322" s="11">
        <v>-107.30249000000001</v>
      </c>
      <c r="K322" s="11" t="s">
        <v>54</v>
      </c>
      <c r="L322" s="13">
        <v>45462</v>
      </c>
      <c r="M322" s="13">
        <f>DATEVALUE(TEXT(L322,"mm/dd/yy"))</f>
        <v>45462</v>
      </c>
      <c r="N322" s="12">
        <f>'Electronic Shop Sales Dataset'!$D322*'Electronic Shop Sales Dataset'!$E322</f>
        <v>69.040000000000006</v>
      </c>
      <c r="O322" s="12" cm="1">
        <f t="array" ref="O322">_xlfn.IFS($K322="Website",$N322*0.05, $K322="Mobile App",$N322*0.05,TRUE,0)</f>
        <v>3.4520000000000004</v>
      </c>
      <c r="P322" s="14" t="str">
        <f>IF(COUNTIF($G$2:G897,G322)&gt;1,"Returning","New")</f>
        <v>New</v>
      </c>
      <c r="Q322" s="24" t="str">
        <f t="shared" si="4"/>
        <v>June</v>
      </c>
      <c r="R322" t="str">
        <v>New Arrival</v>
      </c>
    </row>
    <row r="323" spans="1:18" x14ac:dyDescent="0.25">
      <c r="A323" s="15" t="s">
        <v>38</v>
      </c>
      <c r="B323" s="16" t="str">
        <f>'Electronic Shop Sales Dataset'!$A323&amp;"-"&amp;'Electronic Shop Sales Dataset'!$C323</f>
        <v>P00007-Smartphone</v>
      </c>
      <c r="C323" s="16" t="s">
        <v>12</v>
      </c>
      <c r="D323" s="17">
        <v>1015.17</v>
      </c>
      <c r="E323" s="16">
        <v>2</v>
      </c>
      <c r="F323" s="16" t="s">
        <v>13</v>
      </c>
      <c r="G323" s="16" t="s">
        <v>240</v>
      </c>
      <c r="H323" s="16" t="s">
        <v>37</v>
      </c>
      <c r="I323" s="16">
        <v>37.769337</v>
      </c>
      <c r="J323" s="16">
        <v>-78.169967999999997</v>
      </c>
      <c r="K323" s="16" t="s">
        <v>27</v>
      </c>
      <c r="L323" s="18">
        <v>45463</v>
      </c>
      <c r="M323" s="13">
        <f>DATEVALUE(TEXT(L323,"mm/dd/yy"))</f>
        <v>45463</v>
      </c>
      <c r="N323" s="17">
        <f>'Electronic Shop Sales Dataset'!$D323*'Electronic Shop Sales Dataset'!$E323</f>
        <v>2030.34</v>
      </c>
      <c r="O323" s="12" cm="1">
        <f t="array" ref="O323">_xlfn.IFS($K323="Website",$N323*0.05, $K323="Mobile App",$N323*0.05,TRUE,0)</f>
        <v>0</v>
      </c>
      <c r="P323" s="14" t="str">
        <f>IF(COUNTIF($G$2:G898,G323)&gt;1,"Returning","New")</f>
        <v>New</v>
      </c>
      <c r="Q323" s="24" t="str">
        <f t="shared" ref="Q323:Q386" si="5">TEXT(M323,"mmmm")</f>
        <v>June</v>
      </c>
      <c r="R323" t="str">
        <v>New Arrival</v>
      </c>
    </row>
    <row r="324" spans="1:18" x14ac:dyDescent="0.25">
      <c r="A324" s="10" t="s">
        <v>51</v>
      </c>
      <c r="B324" s="11" t="str">
        <f>'Electronic Shop Sales Dataset'!$A324&amp;"-"&amp;'Electronic Shop Sales Dataset'!$C324</f>
        <v>P00017-Smart Home Hub</v>
      </c>
      <c r="C324" s="11" t="s">
        <v>42</v>
      </c>
      <c r="D324" s="12">
        <v>416.98</v>
      </c>
      <c r="E324" s="11">
        <v>4</v>
      </c>
      <c r="F324" s="11" t="s">
        <v>13</v>
      </c>
      <c r="G324" s="11" t="s">
        <v>557</v>
      </c>
      <c r="H324" s="11" t="s">
        <v>122</v>
      </c>
      <c r="I324" s="11">
        <v>42.755966000000001</v>
      </c>
      <c r="J324" s="11">
        <v>-107.30249000000001</v>
      </c>
      <c r="K324" s="11" t="s">
        <v>23</v>
      </c>
      <c r="L324" s="13">
        <v>45464</v>
      </c>
      <c r="M324" s="13">
        <f>DATEVALUE(TEXT(L324,"mm/dd/yy"))</f>
        <v>45464</v>
      </c>
      <c r="N324" s="12">
        <f>'Electronic Shop Sales Dataset'!$D324*'Electronic Shop Sales Dataset'!$E324</f>
        <v>1667.92</v>
      </c>
      <c r="O324" s="12" cm="1">
        <f t="array" ref="O324">_xlfn.IFS($K324="Website",$N324*0.05, $K324="Mobile App",$N324*0.05,TRUE,0)</f>
        <v>0</v>
      </c>
      <c r="P324" s="14" t="str">
        <f>IF(COUNTIF($G$2:G899,G324)&gt;1,"Returning","New")</f>
        <v>New</v>
      </c>
      <c r="Q324" s="24" t="str">
        <f t="shared" si="5"/>
        <v>June</v>
      </c>
      <c r="R324" t="str">
        <v>New Arrival</v>
      </c>
    </row>
    <row r="325" spans="1:18" x14ac:dyDescent="0.25">
      <c r="A325" s="15" t="s">
        <v>41</v>
      </c>
      <c r="B325" s="16" t="str">
        <f>'Electronic Shop Sales Dataset'!$A325&amp;"-"&amp;'Electronic Shop Sales Dataset'!$C325</f>
        <v>P00024-Laptop</v>
      </c>
      <c r="C325" s="16" t="s">
        <v>89</v>
      </c>
      <c r="D325" s="17">
        <v>1663.36</v>
      </c>
      <c r="E325" s="16">
        <v>2</v>
      </c>
      <c r="F325" s="16" t="s">
        <v>43</v>
      </c>
      <c r="G325" s="16" t="s">
        <v>558</v>
      </c>
      <c r="H325" s="16" t="s">
        <v>18</v>
      </c>
      <c r="I325" s="16">
        <v>47.528911999999998</v>
      </c>
      <c r="J325" s="16">
        <v>-99.784012000000004</v>
      </c>
      <c r="K325" s="16" t="s">
        <v>54</v>
      </c>
      <c r="L325" s="18">
        <v>45464</v>
      </c>
      <c r="M325" s="13">
        <f>DATEVALUE(TEXT(L325,"mm/dd/yy"))</f>
        <v>45464</v>
      </c>
      <c r="N325" s="17">
        <f>'Electronic Shop Sales Dataset'!$D325*'Electronic Shop Sales Dataset'!$E325</f>
        <v>3326.72</v>
      </c>
      <c r="O325" s="12" cm="1">
        <f t="array" ref="O325">_xlfn.IFS($K325="Website",$N325*0.05, $K325="Mobile App",$N325*0.05,TRUE,0)</f>
        <v>166.33600000000001</v>
      </c>
      <c r="P325" s="14" t="str">
        <f>IF(COUNTIF($G$2:G900,G325)&gt;1,"Returning","New")</f>
        <v>New</v>
      </c>
      <c r="Q325" s="24" t="str">
        <f t="shared" si="5"/>
        <v>June</v>
      </c>
      <c r="R325" t="str">
        <v>Old Stock</v>
      </c>
    </row>
    <row r="326" spans="1:18" x14ac:dyDescent="0.25">
      <c r="A326" s="10" t="s">
        <v>69</v>
      </c>
      <c r="B326" s="11" t="str">
        <f>'Electronic Shop Sales Dataset'!$A326&amp;"-"&amp;'Electronic Shop Sales Dataset'!$C326</f>
        <v>P00005-VR Headset</v>
      </c>
      <c r="C326" s="11" t="s">
        <v>72</v>
      </c>
      <c r="D326" s="12">
        <v>582.77</v>
      </c>
      <c r="E326" s="11">
        <v>5</v>
      </c>
      <c r="F326" s="11" t="s">
        <v>13</v>
      </c>
      <c r="G326" s="11" t="s">
        <v>559</v>
      </c>
      <c r="H326" s="11" t="s">
        <v>75</v>
      </c>
      <c r="I326" s="11">
        <v>39.059811000000003</v>
      </c>
      <c r="J326" s="11">
        <v>-105.311104</v>
      </c>
      <c r="K326" s="11" t="s">
        <v>54</v>
      </c>
      <c r="L326" s="13">
        <v>45464</v>
      </c>
      <c r="M326" s="13">
        <f>DATEVALUE(TEXT(L326,"mm/dd/yy"))</f>
        <v>45464</v>
      </c>
      <c r="N326" s="12">
        <f>'Electronic Shop Sales Dataset'!$D326*'Electronic Shop Sales Dataset'!$E326</f>
        <v>2913.85</v>
      </c>
      <c r="O326" s="12" cm="1">
        <f t="array" ref="O326">_xlfn.IFS($K326="Website",$N326*0.05, $K326="Mobile App",$N326*0.05,TRUE,0)</f>
        <v>145.6925</v>
      </c>
      <c r="P326" s="14" t="str">
        <f>IF(COUNTIF($G$2:G901,G326)&gt;1,"Returning","New")</f>
        <v>New</v>
      </c>
      <c r="Q326" s="24" t="str">
        <f t="shared" si="5"/>
        <v>June</v>
      </c>
      <c r="R326" t="str">
        <v>New Arrival</v>
      </c>
    </row>
    <row r="327" spans="1:18" x14ac:dyDescent="0.25">
      <c r="A327" s="15" t="s">
        <v>31</v>
      </c>
      <c r="B327" s="16" t="str">
        <f>'Electronic Shop Sales Dataset'!$A327&amp;"-"&amp;'Electronic Shop Sales Dataset'!$C327</f>
        <v>P00022-Smartwatch</v>
      </c>
      <c r="C327" s="16" t="s">
        <v>62</v>
      </c>
      <c r="D327" s="17">
        <v>280.35000000000002</v>
      </c>
      <c r="E327" s="16">
        <v>4</v>
      </c>
      <c r="F327" s="16" t="s">
        <v>21</v>
      </c>
      <c r="G327" s="16" t="s">
        <v>560</v>
      </c>
      <c r="H327" s="16" t="s">
        <v>101</v>
      </c>
      <c r="I327" s="16">
        <v>21.094318000000001</v>
      </c>
      <c r="J327" s="16">
        <v>-157.49833699999999</v>
      </c>
      <c r="K327" s="16" t="s">
        <v>48</v>
      </c>
      <c r="L327" s="18">
        <v>45465</v>
      </c>
      <c r="M327" s="13">
        <f>DATEVALUE(TEXT(L327,"mm/dd/yy"))</f>
        <v>45465</v>
      </c>
      <c r="N327" s="17">
        <f>'Electronic Shop Sales Dataset'!$D327*'Electronic Shop Sales Dataset'!$E327</f>
        <v>1121.4000000000001</v>
      </c>
      <c r="O327" s="12" cm="1">
        <f t="array" ref="O327">_xlfn.IFS($K327="Website",$N327*0.05, $K327="Mobile App",$N327*0.05,TRUE,0)</f>
        <v>56.070000000000007</v>
      </c>
      <c r="P327" s="14" t="str">
        <f>IF(COUNTIF($G$2:G902,G327)&gt;1,"Returning","New")</f>
        <v>New</v>
      </c>
      <c r="Q327" s="24" t="str">
        <f t="shared" si="5"/>
        <v>June</v>
      </c>
      <c r="R327" t="str">
        <v>New Arrival</v>
      </c>
    </row>
    <row r="328" spans="1:18" x14ac:dyDescent="0.25">
      <c r="A328" s="10" t="s">
        <v>117</v>
      </c>
      <c r="B328" s="11" t="str">
        <f>'Electronic Shop Sales Dataset'!$A328&amp;"-"&amp;'Electronic Shop Sales Dataset'!$C328</f>
        <v>P00016-Smart Home Hub</v>
      </c>
      <c r="C328" s="11" t="s">
        <v>42</v>
      </c>
      <c r="D328" s="12">
        <v>446</v>
      </c>
      <c r="E328" s="11">
        <v>1</v>
      </c>
      <c r="F328" s="11" t="s">
        <v>13</v>
      </c>
      <c r="G328" s="11" t="s">
        <v>561</v>
      </c>
      <c r="H328" s="11" t="s">
        <v>91</v>
      </c>
      <c r="I328" s="11">
        <v>38.313515000000002</v>
      </c>
      <c r="J328" s="11">
        <v>-117.055374</v>
      </c>
      <c r="K328" s="11" t="s">
        <v>27</v>
      </c>
      <c r="L328" s="13">
        <v>45466</v>
      </c>
      <c r="M328" s="13">
        <f>DATEVALUE(TEXT(L328,"mm/dd/yy"))</f>
        <v>45466</v>
      </c>
      <c r="N328" s="12">
        <f>'Electronic Shop Sales Dataset'!$D328*'Electronic Shop Sales Dataset'!$E328</f>
        <v>446</v>
      </c>
      <c r="O328" s="12" cm="1">
        <f t="array" ref="O328">_xlfn.IFS($K328="Website",$N328*0.05, $K328="Mobile App",$N328*0.05,TRUE,0)</f>
        <v>0</v>
      </c>
      <c r="P328" s="14" t="str">
        <f>IF(COUNTIF($G$2:G903,G328)&gt;1,"Returning","New")</f>
        <v>New</v>
      </c>
      <c r="Q328" s="24" t="str">
        <f t="shared" si="5"/>
        <v>June</v>
      </c>
      <c r="R328" t="str">
        <v>New Arrival</v>
      </c>
    </row>
    <row r="329" spans="1:18" x14ac:dyDescent="0.25">
      <c r="A329" s="15" t="s">
        <v>41</v>
      </c>
      <c r="B329" s="16" t="str">
        <f>'Electronic Shop Sales Dataset'!$A329&amp;"-"&amp;'Electronic Shop Sales Dataset'!$C329</f>
        <v>P00024-Smartwatch</v>
      </c>
      <c r="C329" s="16" t="s">
        <v>62</v>
      </c>
      <c r="D329" s="17">
        <v>193.28</v>
      </c>
      <c r="E329" s="16">
        <v>2</v>
      </c>
      <c r="F329" s="16" t="s">
        <v>33</v>
      </c>
      <c r="G329" s="16" t="s">
        <v>562</v>
      </c>
      <c r="H329" s="16" t="s">
        <v>156</v>
      </c>
      <c r="I329" s="16">
        <v>41.125369999999997</v>
      </c>
      <c r="J329" s="16">
        <v>-98.268082000000007</v>
      </c>
      <c r="K329" s="16" t="s">
        <v>23</v>
      </c>
      <c r="L329" s="18">
        <v>45467</v>
      </c>
      <c r="M329" s="13">
        <f>DATEVALUE(TEXT(L329,"mm/dd/yy"))</f>
        <v>45467</v>
      </c>
      <c r="N329" s="17">
        <f>'Electronic Shop Sales Dataset'!$D329*'Electronic Shop Sales Dataset'!$E329</f>
        <v>386.56</v>
      </c>
      <c r="O329" s="12" cm="1">
        <f t="array" ref="O329">_xlfn.IFS($K329="Website",$N329*0.05, $K329="Mobile App",$N329*0.05,TRUE,0)</f>
        <v>0</v>
      </c>
      <c r="P329" s="14" t="str">
        <f>IF(COUNTIF($G$2:G904,G329)&gt;1,"Returning","New")</f>
        <v>New</v>
      </c>
      <c r="Q329" s="24" t="str">
        <f t="shared" si="5"/>
        <v>June</v>
      </c>
      <c r="R329" t="str">
        <v>New Arrival</v>
      </c>
    </row>
    <row r="330" spans="1:18" x14ac:dyDescent="0.25">
      <c r="A330" s="10" t="s">
        <v>69</v>
      </c>
      <c r="B330" s="11" t="str">
        <f>'Electronic Shop Sales Dataset'!$A330&amp;"-"&amp;'Electronic Shop Sales Dataset'!$C330</f>
        <v>P00005-Drone</v>
      </c>
      <c r="C330" s="11" t="s">
        <v>20</v>
      </c>
      <c r="D330" s="12">
        <v>2898.51</v>
      </c>
      <c r="E330" s="11">
        <v>5</v>
      </c>
      <c r="F330" s="11" t="s">
        <v>33</v>
      </c>
      <c r="G330" s="11" t="s">
        <v>563</v>
      </c>
      <c r="H330" s="11" t="s">
        <v>75</v>
      </c>
      <c r="I330" s="11">
        <v>39.059811000000003</v>
      </c>
      <c r="J330" s="11">
        <v>-105.311104</v>
      </c>
      <c r="K330" s="11" t="s">
        <v>54</v>
      </c>
      <c r="L330" s="13">
        <v>45469</v>
      </c>
      <c r="M330" s="13">
        <f>DATEVALUE(TEXT(L330,"mm/dd/yy"))</f>
        <v>45469</v>
      </c>
      <c r="N330" s="12">
        <f>'Electronic Shop Sales Dataset'!$D330*'Electronic Shop Sales Dataset'!$E330</f>
        <v>14492.550000000001</v>
      </c>
      <c r="O330" s="12" cm="1">
        <f t="array" ref="O330">_xlfn.IFS($K330="Website",$N330*0.05, $K330="Mobile App",$N330*0.05,TRUE,0)</f>
        <v>724.62750000000005</v>
      </c>
      <c r="P330" s="14" t="str">
        <f>IF(COUNTIF($G$2:G905,G330)&gt;1,"Returning","New")</f>
        <v>New</v>
      </c>
      <c r="Q330" s="24" t="str">
        <f t="shared" si="5"/>
        <v>June</v>
      </c>
      <c r="R330" t="str">
        <v>New Arrival</v>
      </c>
    </row>
    <row r="331" spans="1:18" x14ac:dyDescent="0.25">
      <c r="A331" s="15" t="s">
        <v>41</v>
      </c>
      <c r="B331" s="16" t="str">
        <f>'Electronic Shop Sales Dataset'!$A331&amp;"-"&amp;'Electronic Shop Sales Dataset'!$C331</f>
        <v>P00024-Router</v>
      </c>
      <c r="C331" s="16" t="s">
        <v>39</v>
      </c>
      <c r="D331" s="17">
        <v>298.51</v>
      </c>
      <c r="E331" s="16">
        <v>3</v>
      </c>
      <c r="F331" s="16" t="s">
        <v>33</v>
      </c>
      <c r="G331" s="16" t="s">
        <v>564</v>
      </c>
      <c r="H331" s="16" t="s">
        <v>22</v>
      </c>
      <c r="I331" s="16">
        <v>32.741646000000003</v>
      </c>
      <c r="J331" s="16">
        <v>-89.678696000000002</v>
      </c>
      <c r="K331" s="16" t="s">
        <v>27</v>
      </c>
      <c r="L331" s="18">
        <v>45469</v>
      </c>
      <c r="M331" s="13">
        <f>DATEVALUE(TEXT(L331,"mm/dd/yy"))</f>
        <v>45469</v>
      </c>
      <c r="N331" s="17">
        <f>'Electronic Shop Sales Dataset'!$D331*'Electronic Shop Sales Dataset'!$E331</f>
        <v>895.53</v>
      </c>
      <c r="O331" s="12" cm="1">
        <f t="array" ref="O331">_xlfn.IFS($K331="Website",$N331*0.05, $K331="Mobile App",$N331*0.05,TRUE,0)</f>
        <v>0</v>
      </c>
      <c r="P331" s="14" t="str">
        <f>IF(COUNTIF($G$2:G906,G331)&gt;1,"Returning","New")</f>
        <v>New</v>
      </c>
      <c r="Q331" s="24" t="str">
        <f t="shared" si="5"/>
        <v>June</v>
      </c>
      <c r="R331" t="str">
        <v>New Arrival</v>
      </c>
    </row>
    <row r="332" spans="1:18" x14ac:dyDescent="0.25">
      <c r="A332" s="10" t="s">
        <v>92</v>
      </c>
      <c r="B332" s="11" t="str">
        <f>'Electronic Shop Sales Dataset'!$A332&amp;"-"&amp;'Electronic Shop Sales Dataset'!$C332</f>
        <v>P00004-Hard Disk</v>
      </c>
      <c r="C332" s="11" t="s">
        <v>97</v>
      </c>
      <c r="D332" s="12">
        <v>52.93</v>
      </c>
      <c r="E332" s="11">
        <v>5</v>
      </c>
      <c r="F332" s="11" t="s">
        <v>21</v>
      </c>
      <c r="G332" s="11" t="s">
        <v>565</v>
      </c>
      <c r="H332" s="11" t="s">
        <v>59</v>
      </c>
      <c r="I332" s="11">
        <v>41.680892999999998</v>
      </c>
      <c r="J332" s="11">
        <v>-71.511780000000002</v>
      </c>
      <c r="K332" s="11" t="s">
        <v>54</v>
      </c>
      <c r="L332" s="13">
        <v>45469</v>
      </c>
      <c r="M332" s="13">
        <f>DATEVALUE(TEXT(L332,"mm/dd/yy"))</f>
        <v>45469</v>
      </c>
      <c r="N332" s="12">
        <f>'Electronic Shop Sales Dataset'!$D332*'Electronic Shop Sales Dataset'!$E332</f>
        <v>264.64999999999998</v>
      </c>
      <c r="O332" s="12" cm="1">
        <f t="array" ref="O332">_xlfn.IFS($K332="Website",$N332*0.05, $K332="Mobile App",$N332*0.05,TRUE,0)</f>
        <v>13.2325</v>
      </c>
      <c r="P332" s="14" t="str">
        <f>IF(COUNTIF($G$2:G907,G332)&gt;1,"Returning","New")</f>
        <v>New</v>
      </c>
      <c r="Q332" s="24" t="str">
        <f t="shared" si="5"/>
        <v>June</v>
      </c>
      <c r="R332" t="str">
        <v>New Arrival</v>
      </c>
    </row>
    <row r="333" spans="1:18" x14ac:dyDescent="0.25">
      <c r="A333" s="15" t="s">
        <v>64</v>
      </c>
      <c r="B333" s="16" t="str">
        <f>'Electronic Shop Sales Dataset'!$A333&amp;"-"&amp;'Electronic Shop Sales Dataset'!$C333</f>
        <v>P00011-Charger</v>
      </c>
      <c r="C333" s="16" t="s">
        <v>32</v>
      </c>
      <c r="D333" s="17">
        <v>28.8</v>
      </c>
      <c r="E333" s="16">
        <v>3</v>
      </c>
      <c r="F333" s="16" t="s">
        <v>21</v>
      </c>
      <c r="G333" s="16" t="s">
        <v>566</v>
      </c>
      <c r="H333" s="16" t="s">
        <v>70</v>
      </c>
      <c r="I333" s="16">
        <v>39.849426000000001</v>
      </c>
      <c r="J333" s="16">
        <v>-86.258278000000004</v>
      </c>
      <c r="K333" s="16" t="s">
        <v>27</v>
      </c>
      <c r="L333" s="18">
        <v>45470</v>
      </c>
      <c r="M333" s="13">
        <f>DATEVALUE(TEXT(L333,"mm/dd/yy"))</f>
        <v>45470</v>
      </c>
      <c r="N333" s="17">
        <f>'Electronic Shop Sales Dataset'!$D333*'Electronic Shop Sales Dataset'!$E333</f>
        <v>86.4</v>
      </c>
      <c r="O333" s="12" cm="1">
        <f t="array" ref="O333">_xlfn.IFS($K333="Website",$N333*0.05, $K333="Mobile App",$N333*0.05,TRUE,0)</f>
        <v>0</v>
      </c>
      <c r="P333" s="14" t="str">
        <f>IF(COUNTIF($G$2:G908,G333)&gt;1,"Returning","New")</f>
        <v>New</v>
      </c>
      <c r="Q333" s="24" t="str">
        <f t="shared" si="5"/>
        <v>June</v>
      </c>
      <c r="R333" t="str">
        <v>New Arrival</v>
      </c>
    </row>
    <row r="334" spans="1:18" x14ac:dyDescent="0.25">
      <c r="A334" s="10" t="s">
        <v>92</v>
      </c>
      <c r="B334" s="11" t="str">
        <f>'Electronic Shop Sales Dataset'!$A334&amp;"-"&amp;'Electronic Shop Sales Dataset'!$C334</f>
        <v>P00004-USB Drive</v>
      </c>
      <c r="C334" s="11" t="s">
        <v>36</v>
      </c>
      <c r="D334" s="12">
        <v>42.52</v>
      </c>
      <c r="E334" s="11">
        <v>5</v>
      </c>
      <c r="F334" s="11" t="s">
        <v>33</v>
      </c>
      <c r="G334" s="11" t="s">
        <v>567</v>
      </c>
      <c r="H334" s="11" t="s">
        <v>78</v>
      </c>
      <c r="I334" s="11">
        <v>31.054487000000002</v>
      </c>
      <c r="J334" s="11">
        <v>-97.563461000000004</v>
      </c>
      <c r="K334" s="11" t="s">
        <v>54</v>
      </c>
      <c r="L334" s="13">
        <v>45472</v>
      </c>
      <c r="M334" s="13">
        <f>DATEVALUE(TEXT(L334,"mm/dd/yy"))</f>
        <v>45472</v>
      </c>
      <c r="N334" s="12">
        <f>'Electronic Shop Sales Dataset'!$D334*'Electronic Shop Sales Dataset'!$E334</f>
        <v>212.60000000000002</v>
      </c>
      <c r="O334" s="12" cm="1">
        <f t="array" ref="O334">_xlfn.IFS($K334="Website",$N334*0.05, $K334="Mobile App",$N334*0.05,TRUE,0)</f>
        <v>10.630000000000003</v>
      </c>
      <c r="P334" s="14" t="str">
        <f>IF(COUNTIF($G$2:G909,G334)&gt;1,"Returning","New")</f>
        <v>New</v>
      </c>
      <c r="Q334" s="24" t="str">
        <f t="shared" si="5"/>
        <v>June</v>
      </c>
      <c r="R334" t="str">
        <v>New Arrival</v>
      </c>
    </row>
    <row r="335" spans="1:18" x14ac:dyDescent="0.25">
      <c r="A335" s="15" t="s">
        <v>64</v>
      </c>
      <c r="B335" s="16" t="str">
        <f>'Electronic Shop Sales Dataset'!$A335&amp;"-"&amp;'Electronic Shop Sales Dataset'!$C335</f>
        <v>P00011-Monitor</v>
      </c>
      <c r="C335" s="16" t="s">
        <v>25</v>
      </c>
      <c r="D335" s="17">
        <v>421.06</v>
      </c>
      <c r="E335" s="16">
        <v>5</v>
      </c>
      <c r="F335" s="16" t="s">
        <v>13</v>
      </c>
      <c r="G335" s="16" t="s">
        <v>568</v>
      </c>
      <c r="H335" s="16" t="s">
        <v>104</v>
      </c>
      <c r="I335" s="16">
        <v>61.370716000000002</v>
      </c>
      <c r="J335" s="16">
        <v>-152.40441899999999</v>
      </c>
      <c r="K335" s="16" t="s">
        <v>15</v>
      </c>
      <c r="L335" s="18">
        <v>45474</v>
      </c>
      <c r="M335" s="13">
        <f>DATEVALUE(TEXT(L335,"mm/dd/yy"))</f>
        <v>45474</v>
      </c>
      <c r="N335" s="17">
        <f>'Electronic Shop Sales Dataset'!$D335*'Electronic Shop Sales Dataset'!$E335</f>
        <v>2105.3000000000002</v>
      </c>
      <c r="O335" s="12" cm="1">
        <f t="array" ref="O335">_xlfn.IFS($K335="Website",$N335*0.05, $K335="Mobile App",$N335*0.05,TRUE,0)</f>
        <v>0</v>
      </c>
      <c r="P335" s="14" t="str">
        <f>IF(COUNTIF($G$2:G910,G335)&gt;1,"Returning","New")</f>
        <v>New</v>
      </c>
      <c r="Q335" s="24" t="str">
        <f t="shared" si="5"/>
        <v>July</v>
      </c>
      <c r="R335" t="str">
        <v>New Arrival</v>
      </c>
    </row>
    <row r="336" spans="1:18" x14ac:dyDescent="0.25">
      <c r="A336" s="10" t="s">
        <v>19</v>
      </c>
      <c r="B336" s="11" t="str">
        <f>'Electronic Shop Sales Dataset'!$A336&amp;"-"&amp;'Electronic Shop Sales Dataset'!$C336</f>
        <v>P00003-Power Bank</v>
      </c>
      <c r="C336" s="11" t="s">
        <v>124</v>
      </c>
      <c r="D336" s="12">
        <v>29.04</v>
      </c>
      <c r="E336" s="11">
        <v>3</v>
      </c>
      <c r="F336" s="11" t="s">
        <v>33</v>
      </c>
      <c r="G336" s="11" t="s">
        <v>569</v>
      </c>
      <c r="H336" s="11" t="s">
        <v>37</v>
      </c>
      <c r="I336" s="11">
        <v>37.769337</v>
      </c>
      <c r="J336" s="11">
        <v>-78.169967999999997</v>
      </c>
      <c r="K336" s="11" t="s">
        <v>54</v>
      </c>
      <c r="L336" s="13">
        <v>45479</v>
      </c>
      <c r="M336" s="13">
        <f>DATEVALUE(TEXT(L336,"mm/dd/yy"))</f>
        <v>45479</v>
      </c>
      <c r="N336" s="12">
        <f>'Electronic Shop Sales Dataset'!$D336*'Electronic Shop Sales Dataset'!$E336</f>
        <v>87.12</v>
      </c>
      <c r="O336" s="12" cm="1">
        <f t="array" ref="O336">_xlfn.IFS($K336="Website",$N336*0.05, $K336="Mobile App",$N336*0.05,TRUE,0)</f>
        <v>4.3560000000000008</v>
      </c>
      <c r="P336" s="14" t="str">
        <f>IF(COUNTIF($G$2:G911,G336)&gt;1,"Returning","New")</f>
        <v>New</v>
      </c>
      <c r="Q336" s="24" t="str">
        <f t="shared" si="5"/>
        <v>July</v>
      </c>
      <c r="R336" t="str">
        <v>New Arrival</v>
      </c>
    </row>
    <row r="337" spans="1:18" x14ac:dyDescent="0.25">
      <c r="A337" s="15" t="s">
        <v>38</v>
      </c>
      <c r="B337" s="16" t="str">
        <f>'Electronic Shop Sales Dataset'!$A337&amp;"-"&amp;'Electronic Shop Sales Dataset'!$C337</f>
        <v>P00007-Router</v>
      </c>
      <c r="C337" s="16" t="s">
        <v>39</v>
      </c>
      <c r="D337" s="17">
        <v>190.18</v>
      </c>
      <c r="E337" s="16">
        <v>2</v>
      </c>
      <c r="F337" s="16" t="s">
        <v>43</v>
      </c>
      <c r="G337" s="16" t="s">
        <v>570</v>
      </c>
      <c r="H337" s="16" t="s">
        <v>80</v>
      </c>
      <c r="I337" s="16">
        <v>39.318522999999999</v>
      </c>
      <c r="J337" s="16">
        <v>-75.507141000000004</v>
      </c>
      <c r="K337" s="16" t="s">
        <v>23</v>
      </c>
      <c r="L337" s="18">
        <v>45479</v>
      </c>
      <c r="M337" s="13">
        <f>DATEVALUE(TEXT(L337,"mm/dd/yy"))</f>
        <v>45479</v>
      </c>
      <c r="N337" s="17">
        <f>'Electronic Shop Sales Dataset'!$D337*'Electronic Shop Sales Dataset'!$E337</f>
        <v>380.36</v>
      </c>
      <c r="O337" s="12" cm="1">
        <f t="array" ref="O337">_xlfn.IFS($K337="Website",$N337*0.05, $K337="Mobile App",$N337*0.05,TRUE,0)</f>
        <v>0</v>
      </c>
      <c r="P337" s="14" t="str">
        <f>IF(COUNTIF($G$2:G912,G337)&gt;1,"Returning","New")</f>
        <v>New</v>
      </c>
      <c r="Q337" s="24" t="str">
        <f t="shared" si="5"/>
        <v>July</v>
      </c>
      <c r="R337" t="str">
        <v>New Arrival</v>
      </c>
    </row>
    <row r="338" spans="1:18" x14ac:dyDescent="0.25">
      <c r="A338" s="10" t="s">
        <v>38</v>
      </c>
      <c r="B338" s="11" t="str">
        <f>'Electronic Shop Sales Dataset'!$A338&amp;"-"&amp;'Electronic Shop Sales Dataset'!$C338</f>
        <v>P00007-Power Bank</v>
      </c>
      <c r="C338" s="11" t="s">
        <v>124</v>
      </c>
      <c r="D338" s="12">
        <v>93.16</v>
      </c>
      <c r="E338" s="11">
        <v>4</v>
      </c>
      <c r="F338" s="11" t="s">
        <v>33</v>
      </c>
      <c r="G338" s="11" t="s">
        <v>571</v>
      </c>
      <c r="H338" s="11" t="s">
        <v>105</v>
      </c>
      <c r="I338" s="11">
        <v>35.630065999999999</v>
      </c>
      <c r="J338" s="11">
        <v>-79.806419000000005</v>
      </c>
      <c r="K338" s="11" t="s">
        <v>54</v>
      </c>
      <c r="L338" s="13">
        <v>45479</v>
      </c>
      <c r="M338" s="13">
        <f>DATEVALUE(TEXT(L338,"mm/dd/yy"))</f>
        <v>45479</v>
      </c>
      <c r="N338" s="12">
        <f>'Electronic Shop Sales Dataset'!$D338*'Electronic Shop Sales Dataset'!$E338</f>
        <v>372.64</v>
      </c>
      <c r="O338" s="12" cm="1">
        <f t="array" ref="O338">_xlfn.IFS($K338="Website",$N338*0.05, $K338="Mobile App",$N338*0.05,TRUE,0)</f>
        <v>18.632000000000001</v>
      </c>
      <c r="P338" s="14" t="str">
        <f>IF(COUNTIF($G$2:G913,G338)&gt;1,"Returning","New")</f>
        <v>New</v>
      </c>
      <c r="Q338" s="24" t="str">
        <f t="shared" si="5"/>
        <v>July</v>
      </c>
      <c r="R338" t="str">
        <v>New Arrival</v>
      </c>
    </row>
    <row r="339" spans="1:18" x14ac:dyDescent="0.25">
      <c r="A339" s="15" t="s">
        <v>84</v>
      </c>
      <c r="B339" s="16" t="str">
        <f>'Electronic Shop Sales Dataset'!$A339&amp;"-"&amp;'Electronic Shop Sales Dataset'!$C339</f>
        <v>P00020-Scanner</v>
      </c>
      <c r="C339" s="16" t="s">
        <v>71</v>
      </c>
      <c r="D339" s="17">
        <v>325.95</v>
      </c>
      <c r="E339" s="16">
        <v>1</v>
      </c>
      <c r="F339" s="16" t="s">
        <v>21</v>
      </c>
      <c r="G339" s="16" t="s">
        <v>572</v>
      </c>
      <c r="H339" s="16" t="s">
        <v>103</v>
      </c>
      <c r="I339" s="16">
        <v>43.326618000000003</v>
      </c>
      <c r="J339" s="16">
        <v>-84.536095000000003</v>
      </c>
      <c r="K339" s="16" t="s">
        <v>23</v>
      </c>
      <c r="L339" s="18">
        <v>45479</v>
      </c>
      <c r="M339" s="13">
        <f>DATEVALUE(TEXT(L339,"mm/dd/yy"))</f>
        <v>45479</v>
      </c>
      <c r="N339" s="17">
        <f>'Electronic Shop Sales Dataset'!$D339*'Electronic Shop Sales Dataset'!$E339</f>
        <v>325.95</v>
      </c>
      <c r="O339" s="12" cm="1">
        <f t="array" ref="O339">_xlfn.IFS($K339="Website",$N339*0.05, $K339="Mobile App",$N339*0.05,TRUE,0)</f>
        <v>0</v>
      </c>
      <c r="P339" s="14" t="str">
        <f>IF(COUNTIF($G$2:G914,G339)&gt;1,"Returning","New")</f>
        <v>New</v>
      </c>
      <c r="Q339" s="24" t="str">
        <f t="shared" si="5"/>
        <v>July</v>
      </c>
      <c r="R339" t="str">
        <v>New Arrival</v>
      </c>
    </row>
    <row r="340" spans="1:18" x14ac:dyDescent="0.25">
      <c r="A340" s="10" t="s">
        <v>35</v>
      </c>
      <c r="B340" s="11" t="str">
        <f>'Electronic Shop Sales Dataset'!$A340&amp;"-"&amp;'Electronic Shop Sales Dataset'!$C340</f>
        <v>P00008-Keyboard</v>
      </c>
      <c r="C340" s="11" t="s">
        <v>29</v>
      </c>
      <c r="D340" s="12">
        <v>116.06</v>
      </c>
      <c r="E340" s="11">
        <v>4</v>
      </c>
      <c r="F340" s="11" t="s">
        <v>21</v>
      </c>
      <c r="G340" s="11" t="s">
        <v>242</v>
      </c>
      <c r="H340" s="11" t="s">
        <v>109</v>
      </c>
      <c r="I340" s="11">
        <v>44.299782</v>
      </c>
      <c r="J340" s="11">
        <v>-99.438828000000001</v>
      </c>
      <c r="K340" s="11" t="s">
        <v>54</v>
      </c>
      <c r="L340" s="13">
        <v>45480</v>
      </c>
      <c r="M340" s="13">
        <f>DATEVALUE(TEXT(L340,"mm/dd/yy"))</f>
        <v>45480</v>
      </c>
      <c r="N340" s="12">
        <f>'Electronic Shop Sales Dataset'!$D340*'Electronic Shop Sales Dataset'!$E340</f>
        <v>464.24</v>
      </c>
      <c r="O340" s="12" cm="1">
        <f t="array" ref="O340">_xlfn.IFS($K340="Website",$N340*0.05, $K340="Mobile App",$N340*0.05,TRUE,0)</f>
        <v>23.212000000000003</v>
      </c>
      <c r="P340" s="14" t="str">
        <f>IF(COUNTIF($G$2:G915,G340)&gt;1,"Returning","New")</f>
        <v>New</v>
      </c>
      <c r="Q340" s="24" t="str">
        <f t="shared" si="5"/>
        <v>July</v>
      </c>
      <c r="R340" t="str">
        <v>New Arrival</v>
      </c>
    </row>
    <row r="341" spans="1:18" x14ac:dyDescent="0.25">
      <c r="A341" s="15" t="s">
        <v>86</v>
      </c>
      <c r="B341" s="16" t="str">
        <f>'Electronic Shop Sales Dataset'!$A341&amp;"-"&amp;'Electronic Shop Sales Dataset'!$C341</f>
        <v>P00021-Smartwatch</v>
      </c>
      <c r="C341" s="16" t="s">
        <v>62</v>
      </c>
      <c r="D341" s="17">
        <v>133.01</v>
      </c>
      <c r="E341" s="16">
        <v>2</v>
      </c>
      <c r="F341" s="16" t="s">
        <v>21</v>
      </c>
      <c r="G341" s="16" t="s">
        <v>573</v>
      </c>
      <c r="H341" s="16" t="s">
        <v>113</v>
      </c>
      <c r="I341" s="16">
        <v>34.969704</v>
      </c>
      <c r="J341" s="16">
        <v>-92.373123000000007</v>
      </c>
      <c r="K341" s="16" t="s">
        <v>54</v>
      </c>
      <c r="L341" s="18">
        <v>45480</v>
      </c>
      <c r="M341" s="13">
        <f>DATEVALUE(TEXT(L341,"mm/dd/yy"))</f>
        <v>45480</v>
      </c>
      <c r="N341" s="17">
        <f>'Electronic Shop Sales Dataset'!$D341*'Electronic Shop Sales Dataset'!$E341</f>
        <v>266.02</v>
      </c>
      <c r="O341" s="12" cm="1">
        <f t="array" ref="O341">_xlfn.IFS($K341="Website",$N341*0.05, $K341="Mobile App",$N341*0.05,TRUE,0)</f>
        <v>13.301</v>
      </c>
      <c r="P341" s="14" t="str">
        <f>IF(COUNTIF($G$2:G916,G341)&gt;1,"Returning","New")</f>
        <v>New</v>
      </c>
      <c r="Q341" s="24" t="str">
        <f t="shared" si="5"/>
        <v>July</v>
      </c>
      <c r="R341" t="str">
        <v>New Arrival</v>
      </c>
    </row>
    <row r="342" spans="1:18" x14ac:dyDescent="0.25">
      <c r="A342" s="10" t="s">
        <v>38</v>
      </c>
      <c r="B342" s="11" t="str">
        <f>'Electronic Shop Sales Dataset'!$A342&amp;"-"&amp;'Electronic Shop Sales Dataset'!$C342</f>
        <v>P00007-VR Headset</v>
      </c>
      <c r="C342" s="11" t="s">
        <v>72</v>
      </c>
      <c r="D342" s="12">
        <v>755.37</v>
      </c>
      <c r="E342" s="11">
        <v>1</v>
      </c>
      <c r="F342" s="11" t="s">
        <v>33</v>
      </c>
      <c r="G342" s="11" t="s">
        <v>574</v>
      </c>
      <c r="H342" s="11" t="s">
        <v>77</v>
      </c>
      <c r="I342" s="11">
        <v>44.693947000000001</v>
      </c>
      <c r="J342" s="11">
        <v>-69.381927000000005</v>
      </c>
      <c r="K342" s="11" t="s">
        <v>23</v>
      </c>
      <c r="L342" s="13">
        <v>45480</v>
      </c>
      <c r="M342" s="13">
        <f>DATEVALUE(TEXT(L342,"mm/dd/yy"))</f>
        <v>45480</v>
      </c>
      <c r="N342" s="12">
        <f>'Electronic Shop Sales Dataset'!$D342*'Electronic Shop Sales Dataset'!$E342</f>
        <v>755.37</v>
      </c>
      <c r="O342" s="12" cm="1">
        <f t="array" ref="O342">_xlfn.IFS($K342="Website",$N342*0.05, $K342="Mobile App",$N342*0.05,TRUE,0)</f>
        <v>0</v>
      </c>
      <c r="P342" s="14" t="str">
        <f>IF(COUNTIF($G$2:G917,G342)&gt;1,"Returning","New")</f>
        <v>New</v>
      </c>
      <c r="Q342" s="24" t="str">
        <f t="shared" si="5"/>
        <v>July</v>
      </c>
      <c r="R342" t="str">
        <v>New Arrival</v>
      </c>
    </row>
    <row r="343" spans="1:18" x14ac:dyDescent="0.25">
      <c r="A343" s="15" t="s">
        <v>11</v>
      </c>
      <c r="B343" s="16" t="str">
        <f>'Electronic Shop Sales Dataset'!$A343&amp;"-"&amp;'Electronic Shop Sales Dataset'!$C343</f>
        <v>P00019-Headphones</v>
      </c>
      <c r="C343" s="16" t="s">
        <v>55</v>
      </c>
      <c r="D343" s="17">
        <v>281.42</v>
      </c>
      <c r="E343" s="16">
        <v>1</v>
      </c>
      <c r="F343" s="16" t="s">
        <v>43</v>
      </c>
      <c r="G343" s="16" t="s">
        <v>575</v>
      </c>
      <c r="H343" s="16" t="s">
        <v>122</v>
      </c>
      <c r="I343" s="16">
        <v>42.755966000000001</v>
      </c>
      <c r="J343" s="16">
        <v>-107.30249000000001</v>
      </c>
      <c r="K343" s="16" t="s">
        <v>27</v>
      </c>
      <c r="L343" s="18">
        <v>45481</v>
      </c>
      <c r="M343" s="13">
        <f>DATEVALUE(TEXT(L343,"mm/dd/yy"))</f>
        <v>45481</v>
      </c>
      <c r="N343" s="17">
        <f>'Electronic Shop Sales Dataset'!$D343*'Electronic Shop Sales Dataset'!$E343</f>
        <v>281.42</v>
      </c>
      <c r="O343" s="12" cm="1">
        <f t="array" ref="O343">_xlfn.IFS($K343="Website",$N343*0.05, $K343="Mobile App",$N343*0.05,TRUE,0)</f>
        <v>0</v>
      </c>
      <c r="P343" s="14" t="str">
        <f>IF(COUNTIF($G$2:G918,G343)&gt;1,"Returning","New")</f>
        <v>New</v>
      </c>
      <c r="Q343" s="24" t="str">
        <f t="shared" si="5"/>
        <v>July</v>
      </c>
      <c r="R343" t="str">
        <v>New Arrival</v>
      </c>
    </row>
    <row r="344" spans="1:18" x14ac:dyDescent="0.25">
      <c r="A344" s="10" t="s">
        <v>86</v>
      </c>
      <c r="B344" s="11" t="str">
        <f>'Electronic Shop Sales Dataset'!$A344&amp;"-"&amp;'Electronic Shop Sales Dataset'!$C344</f>
        <v>P00021-Laptop</v>
      </c>
      <c r="C344" s="11" t="s">
        <v>89</v>
      </c>
      <c r="D344" s="12">
        <v>1337.3</v>
      </c>
      <c r="E344" s="11">
        <v>5</v>
      </c>
      <c r="F344" s="11" t="s">
        <v>21</v>
      </c>
      <c r="G344" s="11" t="s">
        <v>576</v>
      </c>
      <c r="H344" s="11" t="s">
        <v>78</v>
      </c>
      <c r="I344" s="11">
        <v>31.054487000000002</v>
      </c>
      <c r="J344" s="11">
        <v>-97.563461000000004</v>
      </c>
      <c r="K344" s="11" t="s">
        <v>48</v>
      </c>
      <c r="L344" s="13">
        <v>45481</v>
      </c>
      <c r="M344" s="13">
        <f>DATEVALUE(TEXT(L344,"mm/dd/yy"))</f>
        <v>45481</v>
      </c>
      <c r="N344" s="12">
        <f>'Electronic Shop Sales Dataset'!$D344*'Electronic Shop Sales Dataset'!$E344</f>
        <v>6686.5</v>
      </c>
      <c r="O344" s="12" cm="1">
        <f t="array" ref="O344">_xlfn.IFS($K344="Website",$N344*0.05, $K344="Mobile App",$N344*0.05,TRUE,0)</f>
        <v>334.32500000000005</v>
      </c>
      <c r="P344" s="14" t="str">
        <f>IF(COUNTIF($G$2:G919,G344)&gt;1,"Returning","New")</f>
        <v>New</v>
      </c>
      <c r="Q344" s="24" t="str">
        <f t="shared" si="5"/>
        <v>July</v>
      </c>
      <c r="R344" t="str">
        <v>Old Stock</v>
      </c>
    </row>
    <row r="345" spans="1:18" x14ac:dyDescent="0.25">
      <c r="A345" s="15" t="s">
        <v>38</v>
      </c>
      <c r="B345" s="16" t="str">
        <f>'Electronic Shop Sales Dataset'!$A345&amp;"-"&amp;'Electronic Shop Sales Dataset'!$C345</f>
        <v>P00007-Charger</v>
      </c>
      <c r="C345" s="16" t="s">
        <v>32</v>
      </c>
      <c r="D345" s="17">
        <v>25.62</v>
      </c>
      <c r="E345" s="16">
        <v>1</v>
      </c>
      <c r="F345" s="16" t="s">
        <v>13</v>
      </c>
      <c r="G345" s="16" t="s">
        <v>577</v>
      </c>
      <c r="H345" s="16" t="s">
        <v>50</v>
      </c>
      <c r="I345" s="16">
        <v>47.400902000000002</v>
      </c>
      <c r="J345" s="16">
        <v>-121.490494</v>
      </c>
      <c r="K345" s="16" t="s">
        <v>23</v>
      </c>
      <c r="L345" s="18">
        <v>45483</v>
      </c>
      <c r="M345" s="13">
        <f>DATEVALUE(TEXT(L345,"mm/dd/yy"))</f>
        <v>45483</v>
      </c>
      <c r="N345" s="17">
        <f>'Electronic Shop Sales Dataset'!$D345*'Electronic Shop Sales Dataset'!$E345</f>
        <v>25.62</v>
      </c>
      <c r="O345" s="12" cm="1">
        <f t="array" ref="O345">_xlfn.IFS($K345="Website",$N345*0.05, $K345="Mobile App",$N345*0.05,TRUE,0)</f>
        <v>0</v>
      </c>
      <c r="P345" s="14" t="str">
        <f>IF(COUNTIF($G$2:G920,G345)&gt;1,"Returning","New")</f>
        <v>New</v>
      </c>
      <c r="Q345" s="24" t="str">
        <f t="shared" si="5"/>
        <v>July</v>
      </c>
      <c r="R345" t="str">
        <v>New Arrival</v>
      </c>
    </row>
    <row r="346" spans="1:18" x14ac:dyDescent="0.25">
      <c r="A346" s="10" t="s">
        <v>24</v>
      </c>
      <c r="B346" s="11" t="str">
        <f>'Electronic Shop Sales Dataset'!$A346&amp;"-"&amp;'Electronic Shop Sales Dataset'!$C346</f>
        <v>P00013-Projector</v>
      </c>
      <c r="C346" s="11" t="s">
        <v>65</v>
      </c>
      <c r="D346" s="12">
        <v>517.66999999999996</v>
      </c>
      <c r="E346" s="11">
        <v>3</v>
      </c>
      <c r="F346" s="11" t="s">
        <v>33</v>
      </c>
      <c r="G346" s="11" t="s">
        <v>578</v>
      </c>
      <c r="H346" s="11" t="s">
        <v>59</v>
      </c>
      <c r="I346" s="11">
        <v>41.680892999999998</v>
      </c>
      <c r="J346" s="11">
        <v>-71.511780000000002</v>
      </c>
      <c r="K346" s="11" t="s">
        <v>23</v>
      </c>
      <c r="L346" s="13">
        <v>45484</v>
      </c>
      <c r="M346" s="13">
        <f>DATEVALUE(TEXT(L346,"mm/dd/yy"))</f>
        <v>45484</v>
      </c>
      <c r="N346" s="12">
        <f>'Electronic Shop Sales Dataset'!$D346*'Electronic Shop Sales Dataset'!$E346</f>
        <v>1553.0099999999998</v>
      </c>
      <c r="O346" s="12" cm="1">
        <f t="array" ref="O346">_xlfn.IFS($K346="Website",$N346*0.05, $K346="Mobile App",$N346*0.05,TRUE,0)</f>
        <v>0</v>
      </c>
      <c r="P346" s="14" t="str">
        <f>IF(COUNTIF($G$2:G921,G346)&gt;1,"Returning","New")</f>
        <v>New</v>
      </c>
      <c r="Q346" s="24" t="str">
        <f t="shared" si="5"/>
        <v>July</v>
      </c>
      <c r="R346" t="str">
        <v>New Arrival</v>
      </c>
    </row>
    <row r="347" spans="1:18" x14ac:dyDescent="0.25">
      <c r="A347" s="15" t="s">
        <v>84</v>
      </c>
      <c r="B347" s="16" t="str">
        <f>'Electronic Shop Sales Dataset'!$A347&amp;"-"&amp;'Electronic Shop Sales Dataset'!$C347</f>
        <v>P00020-Tablet</v>
      </c>
      <c r="C347" s="16" t="s">
        <v>83</v>
      </c>
      <c r="D347" s="17">
        <v>279.2</v>
      </c>
      <c r="E347" s="16">
        <v>4</v>
      </c>
      <c r="F347" s="16" t="s">
        <v>13</v>
      </c>
      <c r="G347" s="16" t="s">
        <v>579</v>
      </c>
      <c r="H347" s="16" t="s">
        <v>123</v>
      </c>
      <c r="I347" s="16">
        <v>40.388782999999997</v>
      </c>
      <c r="J347" s="16">
        <v>-82.764915000000002</v>
      </c>
      <c r="K347" s="16" t="s">
        <v>15</v>
      </c>
      <c r="L347" s="18">
        <v>45484</v>
      </c>
      <c r="M347" s="13">
        <f>DATEVALUE(TEXT(L347,"mm/dd/yy"))</f>
        <v>45484</v>
      </c>
      <c r="N347" s="17">
        <f>'Electronic Shop Sales Dataset'!$D347*'Electronic Shop Sales Dataset'!$E347</f>
        <v>1116.8</v>
      </c>
      <c r="O347" s="12" cm="1">
        <f t="array" ref="O347">_xlfn.IFS($K347="Website",$N347*0.05, $K347="Mobile App",$N347*0.05,TRUE,0)</f>
        <v>0</v>
      </c>
      <c r="P347" s="14" t="str">
        <f>IF(COUNTIF($G$2:G922,G347)&gt;1,"Returning","New")</f>
        <v>New</v>
      </c>
      <c r="Q347" s="24" t="str">
        <f t="shared" si="5"/>
        <v>July</v>
      </c>
      <c r="R347" t="str">
        <v>New Arrival</v>
      </c>
    </row>
    <row r="348" spans="1:18" x14ac:dyDescent="0.25">
      <c r="A348" s="10" t="s">
        <v>16</v>
      </c>
      <c r="B348" s="11" t="str">
        <f>'Electronic Shop Sales Dataset'!$A348&amp;"-"&amp;'Electronic Shop Sales Dataset'!$C348</f>
        <v>P00010-Graphics Card</v>
      </c>
      <c r="C348" s="11" t="s">
        <v>125</v>
      </c>
      <c r="D348" s="12">
        <v>1196.0899999999999</v>
      </c>
      <c r="E348" s="11">
        <v>5</v>
      </c>
      <c r="F348" s="11" t="s">
        <v>21</v>
      </c>
      <c r="G348" s="11" t="s">
        <v>580</v>
      </c>
      <c r="H348" s="11" t="s">
        <v>37</v>
      </c>
      <c r="I348" s="11">
        <v>37.769337</v>
      </c>
      <c r="J348" s="11">
        <v>-78.169967999999997</v>
      </c>
      <c r="K348" s="11" t="s">
        <v>15</v>
      </c>
      <c r="L348" s="13">
        <v>45485</v>
      </c>
      <c r="M348" s="13">
        <f>DATEVALUE(TEXT(L348,"mm/dd/yy"))</f>
        <v>45485</v>
      </c>
      <c r="N348" s="12">
        <f>'Electronic Shop Sales Dataset'!$D348*'Electronic Shop Sales Dataset'!$E348</f>
        <v>5980.45</v>
      </c>
      <c r="O348" s="12" cm="1">
        <f t="array" ref="O348">_xlfn.IFS($K348="Website",$N348*0.05, $K348="Mobile App",$N348*0.05,TRUE,0)</f>
        <v>0</v>
      </c>
      <c r="P348" s="14" t="str">
        <f>IF(COUNTIF($G$2:G923,G348)&gt;1,"Returning","New")</f>
        <v>New</v>
      </c>
      <c r="Q348" s="24" t="str">
        <f t="shared" si="5"/>
        <v>July</v>
      </c>
      <c r="R348" t="str">
        <v>New Arrival</v>
      </c>
    </row>
    <row r="349" spans="1:18" x14ac:dyDescent="0.25">
      <c r="A349" s="15" t="s">
        <v>117</v>
      </c>
      <c r="B349" s="16" t="str">
        <f>'Electronic Shop Sales Dataset'!$A349&amp;"-"&amp;'Electronic Shop Sales Dataset'!$C349</f>
        <v>P00016-Printer</v>
      </c>
      <c r="C349" s="16" t="s">
        <v>52</v>
      </c>
      <c r="D349" s="17">
        <v>150.24</v>
      </c>
      <c r="E349" s="16">
        <v>1</v>
      </c>
      <c r="F349" s="16" t="s">
        <v>43</v>
      </c>
      <c r="G349" s="16" t="s">
        <v>581</v>
      </c>
      <c r="H349" s="16" t="s">
        <v>110</v>
      </c>
      <c r="I349" s="16">
        <v>33.040619</v>
      </c>
      <c r="J349" s="16">
        <v>-83.643073999999999</v>
      </c>
      <c r="K349" s="16" t="s">
        <v>27</v>
      </c>
      <c r="L349" s="18">
        <v>45487</v>
      </c>
      <c r="M349" s="13">
        <f>DATEVALUE(TEXT(L349,"mm/dd/yy"))</f>
        <v>45487</v>
      </c>
      <c r="N349" s="17">
        <f>'Electronic Shop Sales Dataset'!$D349*'Electronic Shop Sales Dataset'!$E349</f>
        <v>150.24</v>
      </c>
      <c r="O349" s="12" cm="1">
        <f t="array" ref="O349">_xlfn.IFS($K349="Website",$N349*0.05, $K349="Mobile App",$N349*0.05,TRUE,0)</f>
        <v>0</v>
      </c>
      <c r="P349" s="14" t="str">
        <f>IF(COUNTIF($G$2:G924,G349)&gt;1,"Returning","New")</f>
        <v>New</v>
      </c>
      <c r="Q349" s="24" t="str">
        <f t="shared" si="5"/>
        <v>July</v>
      </c>
      <c r="R349" t="str">
        <v>New Arrival</v>
      </c>
    </row>
    <row r="350" spans="1:18" x14ac:dyDescent="0.25">
      <c r="A350" s="10" t="s">
        <v>102</v>
      </c>
      <c r="B350" s="11" t="str">
        <f>'Electronic Shop Sales Dataset'!$A350&amp;"-"&amp;'Electronic Shop Sales Dataset'!$C350</f>
        <v>P00001-USB Drive</v>
      </c>
      <c r="C350" s="11" t="s">
        <v>36</v>
      </c>
      <c r="D350" s="12">
        <v>14.61</v>
      </c>
      <c r="E350" s="11">
        <v>1</v>
      </c>
      <c r="F350" s="11" t="s">
        <v>21</v>
      </c>
      <c r="G350" s="11" t="s">
        <v>582</v>
      </c>
      <c r="H350" s="11" t="s">
        <v>75</v>
      </c>
      <c r="I350" s="11">
        <v>39.059811000000003</v>
      </c>
      <c r="J350" s="11">
        <v>-105.311104</v>
      </c>
      <c r="K350" s="11" t="s">
        <v>48</v>
      </c>
      <c r="L350" s="13">
        <v>45488</v>
      </c>
      <c r="M350" s="13">
        <f>DATEVALUE(TEXT(L350,"mm/dd/yy"))</f>
        <v>45488</v>
      </c>
      <c r="N350" s="12">
        <f>'Electronic Shop Sales Dataset'!$D350*'Electronic Shop Sales Dataset'!$E350</f>
        <v>14.61</v>
      </c>
      <c r="O350" s="12" cm="1">
        <f t="array" ref="O350">_xlfn.IFS($K350="Website",$N350*0.05, $K350="Mobile App",$N350*0.05,TRUE,0)</f>
        <v>0.73050000000000004</v>
      </c>
      <c r="P350" s="14" t="str">
        <f>IF(COUNTIF($G$2:G925,G350)&gt;1,"Returning","New")</f>
        <v>New</v>
      </c>
      <c r="Q350" s="24" t="str">
        <f t="shared" si="5"/>
        <v>July</v>
      </c>
      <c r="R350" t="str">
        <v>New Arrival</v>
      </c>
    </row>
    <row r="351" spans="1:18" x14ac:dyDescent="0.25">
      <c r="A351" s="15" t="s">
        <v>79</v>
      </c>
      <c r="B351" s="16" t="str">
        <f>'Electronic Shop Sales Dataset'!$A351&amp;"-"&amp;'Electronic Shop Sales Dataset'!$C351</f>
        <v>P00012-Smart TV</v>
      </c>
      <c r="C351" s="16" t="s">
        <v>74</v>
      </c>
      <c r="D351" s="17">
        <v>1286.71</v>
      </c>
      <c r="E351" s="16">
        <v>3</v>
      </c>
      <c r="F351" s="16" t="s">
        <v>33</v>
      </c>
      <c r="G351" s="16" t="s">
        <v>583</v>
      </c>
      <c r="H351" s="16" t="s">
        <v>116</v>
      </c>
      <c r="I351" s="16">
        <v>43.452491999999999</v>
      </c>
      <c r="J351" s="16">
        <v>-71.563896</v>
      </c>
      <c r="K351" s="16" t="s">
        <v>27</v>
      </c>
      <c r="L351" s="18">
        <v>45488</v>
      </c>
      <c r="M351" s="13">
        <f>DATEVALUE(TEXT(L351,"mm/dd/yy"))</f>
        <v>45488</v>
      </c>
      <c r="N351" s="17">
        <f>'Electronic Shop Sales Dataset'!$D351*'Electronic Shop Sales Dataset'!$E351</f>
        <v>3860.13</v>
      </c>
      <c r="O351" s="12" cm="1">
        <f t="array" ref="O351">_xlfn.IFS($K351="Website",$N351*0.05, $K351="Mobile App",$N351*0.05,TRUE,0)</f>
        <v>0</v>
      </c>
      <c r="P351" s="14" t="str">
        <f>IF(COUNTIF($G$2:G926,G351)&gt;1,"Returning","New")</f>
        <v>New</v>
      </c>
      <c r="Q351" s="24" t="str">
        <f t="shared" si="5"/>
        <v>July</v>
      </c>
      <c r="R351" t="str">
        <v>New Arrival</v>
      </c>
    </row>
    <row r="352" spans="1:18" x14ac:dyDescent="0.25">
      <c r="A352" s="10" t="s">
        <v>49</v>
      </c>
      <c r="B352" s="11" t="str">
        <f>'Electronic Shop Sales Dataset'!$A352&amp;"-"&amp;'Electronic Shop Sales Dataset'!$C352</f>
        <v>P00023-Drone</v>
      </c>
      <c r="C352" s="11" t="s">
        <v>20</v>
      </c>
      <c r="D352" s="12">
        <v>2076.1999999999998</v>
      </c>
      <c r="E352" s="11">
        <v>2</v>
      </c>
      <c r="F352" s="11" t="s">
        <v>33</v>
      </c>
      <c r="G352" s="11" t="s">
        <v>226</v>
      </c>
      <c r="H352" s="11" t="s">
        <v>132</v>
      </c>
      <c r="I352" s="11">
        <v>27.766279000000001</v>
      </c>
      <c r="J352" s="11">
        <v>-81.686783000000005</v>
      </c>
      <c r="K352" s="11" t="s">
        <v>23</v>
      </c>
      <c r="L352" s="13">
        <v>45488</v>
      </c>
      <c r="M352" s="13">
        <f>DATEVALUE(TEXT(L352,"mm/dd/yy"))</f>
        <v>45488</v>
      </c>
      <c r="N352" s="12">
        <f>'Electronic Shop Sales Dataset'!$D352*'Electronic Shop Sales Dataset'!$E352</f>
        <v>4152.3999999999996</v>
      </c>
      <c r="O352" s="12" cm="1">
        <f t="array" ref="O352">_xlfn.IFS($K352="Website",$N352*0.05, $K352="Mobile App",$N352*0.05,TRUE,0)</f>
        <v>0</v>
      </c>
      <c r="P352" s="14" t="str">
        <f>IF(COUNTIF($G$2:G927,G352)&gt;1,"Returning","New")</f>
        <v>New</v>
      </c>
      <c r="Q352" s="24" t="str">
        <f t="shared" si="5"/>
        <v>July</v>
      </c>
      <c r="R352" t="str">
        <v>New Arrival</v>
      </c>
    </row>
    <row r="353" spans="1:18" x14ac:dyDescent="0.25">
      <c r="A353" s="15" t="s">
        <v>102</v>
      </c>
      <c r="B353" s="16" t="str">
        <f>'Electronic Shop Sales Dataset'!$A353&amp;"-"&amp;'Electronic Shop Sales Dataset'!$C353</f>
        <v>P00001-Smart TV</v>
      </c>
      <c r="C353" s="16" t="s">
        <v>74</v>
      </c>
      <c r="D353" s="17">
        <v>603.45000000000005</v>
      </c>
      <c r="E353" s="16">
        <v>4</v>
      </c>
      <c r="F353" s="16" t="s">
        <v>13</v>
      </c>
      <c r="G353" s="16" t="s">
        <v>584</v>
      </c>
      <c r="H353" s="16" t="s">
        <v>143</v>
      </c>
      <c r="I353" s="16">
        <v>35.565342000000001</v>
      </c>
      <c r="J353" s="16">
        <v>-96.928916999999998</v>
      </c>
      <c r="K353" s="16" t="s">
        <v>27</v>
      </c>
      <c r="L353" s="18">
        <v>45488</v>
      </c>
      <c r="M353" s="13">
        <f>DATEVALUE(TEXT(L353,"mm/dd/yy"))</f>
        <v>45488</v>
      </c>
      <c r="N353" s="17">
        <f>'Electronic Shop Sales Dataset'!$D353*'Electronic Shop Sales Dataset'!$E353</f>
        <v>2413.8000000000002</v>
      </c>
      <c r="O353" s="12" cm="1">
        <f t="array" ref="O353">_xlfn.IFS($K353="Website",$N353*0.05, $K353="Mobile App",$N353*0.05,TRUE,0)</f>
        <v>0</v>
      </c>
      <c r="P353" s="14" t="str">
        <f>IF(COUNTIF($G$2:G928,G353)&gt;1,"Returning","New")</f>
        <v>New</v>
      </c>
      <c r="Q353" s="24" t="str">
        <f t="shared" si="5"/>
        <v>July</v>
      </c>
      <c r="R353" t="str">
        <v>New Arrival</v>
      </c>
    </row>
    <row r="354" spans="1:18" x14ac:dyDescent="0.25">
      <c r="A354" s="10" t="s">
        <v>79</v>
      </c>
      <c r="B354" s="11" t="str">
        <f>'Electronic Shop Sales Dataset'!$A354&amp;"-"&amp;'Electronic Shop Sales Dataset'!$C354</f>
        <v>P00012-Headphones</v>
      </c>
      <c r="C354" s="11" t="s">
        <v>55</v>
      </c>
      <c r="D354" s="12">
        <v>130.22</v>
      </c>
      <c r="E354" s="11">
        <v>4</v>
      </c>
      <c r="F354" s="11" t="s">
        <v>21</v>
      </c>
      <c r="G354" s="11" t="s">
        <v>585</v>
      </c>
      <c r="H354" s="11" t="s">
        <v>76</v>
      </c>
      <c r="I354" s="11">
        <v>33.856892000000002</v>
      </c>
      <c r="J354" s="11">
        <v>-80.945007000000004</v>
      </c>
      <c r="K354" s="11" t="s">
        <v>15</v>
      </c>
      <c r="L354" s="13">
        <v>45489</v>
      </c>
      <c r="M354" s="13">
        <f>DATEVALUE(TEXT(L354,"mm/dd/yy"))</f>
        <v>45489</v>
      </c>
      <c r="N354" s="12">
        <f>'Electronic Shop Sales Dataset'!$D354*'Electronic Shop Sales Dataset'!$E354</f>
        <v>520.88</v>
      </c>
      <c r="O354" s="12" cm="1">
        <f t="array" ref="O354">_xlfn.IFS($K354="Website",$N354*0.05, $K354="Mobile App",$N354*0.05,TRUE,0)</f>
        <v>0</v>
      </c>
      <c r="P354" s="14" t="str">
        <f>IF(COUNTIF($G$2:G929,G354)&gt;1,"Returning","New")</f>
        <v>New</v>
      </c>
      <c r="Q354" s="24" t="str">
        <f t="shared" si="5"/>
        <v>July</v>
      </c>
      <c r="R354" t="str">
        <v>New Arrival</v>
      </c>
    </row>
    <row r="355" spans="1:18" x14ac:dyDescent="0.25">
      <c r="A355" s="15" t="s">
        <v>92</v>
      </c>
      <c r="B355" s="16" t="str">
        <f>'Electronic Shop Sales Dataset'!$A355&amp;"-"&amp;'Electronic Shop Sales Dataset'!$C355</f>
        <v>P00004-Camera</v>
      </c>
      <c r="C355" s="16" t="s">
        <v>46</v>
      </c>
      <c r="D355" s="17">
        <v>2283</v>
      </c>
      <c r="E355" s="16">
        <v>1</v>
      </c>
      <c r="F355" s="16" t="s">
        <v>13</v>
      </c>
      <c r="G355" s="16" t="s">
        <v>586</v>
      </c>
      <c r="H355" s="16" t="s">
        <v>75</v>
      </c>
      <c r="I355" s="16">
        <v>39.059811000000003</v>
      </c>
      <c r="J355" s="16">
        <v>-105.311104</v>
      </c>
      <c r="K355" s="16" t="s">
        <v>54</v>
      </c>
      <c r="L355" s="18">
        <v>45492</v>
      </c>
      <c r="M355" s="13">
        <f>DATEVALUE(TEXT(L355,"mm/dd/yy"))</f>
        <v>45492</v>
      </c>
      <c r="N355" s="17">
        <f>'Electronic Shop Sales Dataset'!$D355*'Electronic Shop Sales Dataset'!$E355</f>
        <v>2283</v>
      </c>
      <c r="O355" s="12" cm="1">
        <f t="array" ref="O355">_xlfn.IFS($K355="Website",$N355*0.05, $K355="Mobile App",$N355*0.05,TRUE,0)</f>
        <v>114.15</v>
      </c>
      <c r="P355" s="14" t="str">
        <f>IF(COUNTIF($G$2:G930,G355)&gt;1,"Returning","New")</f>
        <v>New</v>
      </c>
      <c r="Q355" s="24" t="str">
        <f t="shared" si="5"/>
        <v>July</v>
      </c>
      <c r="R355" t="str">
        <v>New Arrival</v>
      </c>
    </row>
    <row r="356" spans="1:18" x14ac:dyDescent="0.25">
      <c r="A356" s="10" t="s">
        <v>86</v>
      </c>
      <c r="B356" s="11" t="str">
        <f>'Electronic Shop Sales Dataset'!$A356&amp;"-"&amp;'Electronic Shop Sales Dataset'!$C356</f>
        <v>P00021-Keyboard</v>
      </c>
      <c r="C356" s="11" t="s">
        <v>29</v>
      </c>
      <c r="D356" s="12">
        <v>116.35</v>
      </c>
      <c r="E356" s="11">
        <v>2</v>
      </c>
      <c r="F356" s="11" t="s">
        <v>21</v>
      </c>
      <c r="G356" s="11" t="s">
        <v>587</v>
      </c>
      <c r="H356" s="11" t="s">
        <v>107</v>
      </c>
      <c r="I356" s="11">
        <v>38.526600000000002</v>
      </c>
      <c r="J356" s="11">
        <v>-96.726485999999994</v>
      </c>
      <c r="K356" s="11" t="s">
        <v>54</v>
      </c>
      <c r="L356" s="13">
        <v>45492</v>
      </c>
      <c r="M356" s="13">
        <f>DATEVALUE(TEXT(L356,"mm/dd/yy"))</f>
        <v>45492</v>
      </c>
      <c r="N356" s="12">
        <f>'Electronic Shop Sales Dataset'!$D356*'Electronic Shop Sales Dataset'!$E356</f>
        <v>232.7</v>
      </c>
      <c r="O356" s="12" cm="1">
        <f t="array" ref="O356">_xlfn.IFS($K356="Website",$N356*0.05, $K356="Mobile App",$N356*0.05,TRUE,0)</f>
        <v>11.635</v>
      </c>
      <c r="P356" s="14" t="str">
        <f>IF(COUNTIF($G$2:G931,G356)&gt;1,"Returning","New")</f>
        <v>New</v>
      </c>
      <c r="Q356" s="24" t="str">
        <f t="shared" si="5"/>
        <v>July</v>
      </c>
      <c r="R356" t="str">
        <v>New Arrival</v>
      </c>
    </row>
    <row r="357" spans="1:18" x14ac:dyDescent="0.25">
      <c r="A357" s="15" t="s">
        <v>79</v>
      </c>
      <c r="B357" s="16" t="str">
        <f>'Electronic Shop Sales Dataset'!$A357&amp;"-"&amp;'Electronic Shop Sales Dataset'!$C357</f>
        <v>P00012-VR Headset</v>
      </c>
      <c r="C357" s="16" t="s">
        <v>72</v>
      </c>
      <c r="D357" s="17">
        <v>438.63</v>
      </c>
      <c r="E357" s="16">
        <v>5</v>
      </c>
      <c r="F357" s="16" t="s">
        <v>43</v>
      </c>
      <c r="G357" s="16" t="s">
        <v>588</v>
      </c>
      <c r="H357" s="16" t="s">
        <v>132</v>
      </c>
      <c r="I357" s="16">
        <v>27.766279000000001</v>
      </c>
      <c r="J357" s="16">
        <v>-81.686783000000005</v>
      </c>
      <c r="K357" s="16" t="s">
        <v>54</v>
      </c>
      <c r="L357" s="18">
        <v>45492</v>
      </c>
      <c r="M357" s="13">
        <f>DATEVALUE(TEXT(L357,"mm/dd/yy"))</f>
        <v>45492</v>
      </c>
      <c r="N357" s="17">
        <f>'Electronic Shop Sales Dataset'!$D357*'Electronic Shop Sales Dataset'!$E357</f>
        <v>2193.15</v>
      </c>
      <c r="O357" s="12" cm="1">
        <f t="array" ref="O357">_xlfn.IFS($K357="Website",$N357*0.05, $K357="Mobile App",$N357*0.05,TRUE,0)</f>
        <v>109.65750000000001</v>
      </c>
      <c r="P357" s="14" t="str">
        <f>IF(COUNTIF($G$2:G932,G357)&gt;1,"Returning","New")</f>
        <v>New</v>
      </c>
      <c r="Q357" s="24" t="str">
        <f t="shared" si="5"/>
        <v>July</v>
      </c>
      <c r="R357" t="str">
        <v>New Arrival</v>
      </c>
    </row>
    <row r="358" spans="1:18" x14ac:dyDescent="0.25">
      <c r="A358" s="10" t="s">
        <v>61</v>
      </c>
      <c r="B358" s="11" t="str">
        <f>'Electronic Shop Sales Dataset'!$A358&amp;"-"&amp;'Electronic Shop Sales Dataset'!$C358</f>
        <v>P00002-USB Drive</v>
      </c>
      <c r="C358" s="11" t="s">
        <v>36</v>
      </c>
      <c r="D358" s="12">
        <v>14.52</v>
      </c>
      <c r="E358" s="11">
        <v>5</v>
      </c>
      <c r="F358" s="11" t="s">
        <v>21</v>
      </c>
      <c r="G358" s="11" t="s">
        <v>258</v>
      </c>
      <c r="H358" s="11" t="s">
        <v>96</v>
      </c>
      <c r="I358" s="11">
        <v>42.011538999999999</v>
      </c>
      <c r="J358" s="11">
        <v>-93.210526000000002</v>
      </c>
      <c r="K358" s="11" t="s">
        <v>15</v>
      </c>
      <c r="L358" s="13">
        <v>45493</v>
      </c>
      <c r="M358" s="13">
        <f>DATEVALUE(TEXT(L358,"mm/dd/yy"))</f>
        <v>45493</v>
      </c>
      <c r="N358" s="12">
        <f>'Electronic Shop Sales Dataset'!$D358*'Electronic Shop Sales Dataset'!$E358</f>
        <v>72.599999999999994</v>
      </c>
      <c r="O358" s="12" cm="1">
        <f t="array" ref="O358">_xlfn.IFS($K358="Website",$N358*0.05, $K358="Mobile App",$N358*0.05,TRUE,0)</f>
        <v>0</v>
      </c>
      <c r="P358" s="14" t="str">
        <f>IF(COUNTIF($G$2:G933,G358)&gt;1,"Returning","New")</f>
        <v>New</v>
      </c>
      <c r="Q358" s="24" t="str">
        <f t="shared" si="5"/>
        <v>July</v>
      </c>
      <c r="R358" t="str">
        <v>New Arrival</v>
      </c>
    </row>
    <row r="359" spans="1:18" x14ac:dyDescent="0.25">
      <c r="A359" s="15" t="s">
        <v>86</v>
      </c>
      <c r="B359" s="16" t="str">
        <f>'Electronic Shop Sales Dataset'!$A359&amp;"-"&amp;'Electronic Shop Sales Dataset'!$C359</f>
        <v>P00021-VR Headset</v>
      </c>
      <c r="C359" s="16" t="s">
        <v>72</v>
      </c>
      <c r="D359" s="17">
        <v>851.81</v>
      </c>
      <c r="E359" s="16">
        <v>5</v>
      </c>
      <c r="F359" s="16" t="s">
        <v>21</v>
      </c>
      <c r="G359" s="16" t="s">
        <v>589</v>
      </c>
      <c r="H359" s="16" t="s">
        <v>122</v>
      </c>
      <c r="I359" s="16">
        <v>42.755966000000001</v>
      </c>
      <c r="J359" s="16">
        <v>-107.30249000000001</v>
      </c>
      <c r="K359" s="16" t="s">
        <v>23</v>
      </c>
      <c r="L359" s="18">
        <v>45495</v>
      </c>
      <c r="M359" s="13">
        <f>DATEVALUE(TEXT(L359,"mm/dd/yy"))</f>
        <v>45495</v>
      </c>
      <c r="N359" s="17">
        <f>'Electronic Shop Sales Dataset'!$D359*'Electronic Shop Sales Dataset'!$E359</f>
        <v>4259.0499999999993</v>
      </c>
      <c r="O359" s="12" cm="1">
        <f t="array" ref="O359">_xlfn.IFS($K359="Website",$N359*0.05, $K359="Mobile App",$N359*0.05,TRUE,0)</f>
        <v>0</v>
      </c>
      <c r="P359" s="14" t="str">
        <f>IF(COUNTIF($G$2:G934,G359)&gt;1,"Returning","New")</f>
        <v>New</v>
      </c>
      <c r="Q359" s="24" t="str">
        <f t="shared" si="5"/>
        <v>July</v>
      </c>
      <c r="R359" t="str">
        <v>New Arrival</v>
      </c>
    </row>
    <row r="360" spans="1:18" x14ac:dyDescent="0.25">
      <c r="A360" s="10" t="s">
        <v>117</v>
      </c>
      <c r="B360" s="11" t="str">
        <f>'Electronic Shop Sales Dataset'!$A360&amp;"-"&amp;'Electronic Shop Sales Dataset'!$C360</f>
        <v>P00016-Graphics Card</v>
      </c>
      <c r="C360" s="11" t="s">
        <v>125</v>
      </c>
      <c r="D360" s="12">
        <v>1785.04</v>
      </c>
      <c r="E360" s="11">
        <v>1</v>
      </c>
      <c r="F360" s="11" t="s">
        <v>33</v>
      </c>
      <c r="G360" s="11" t="s">
        <v>590</v>
      </c>
      <c r="H360" s="11" t="s">
        <v>77</v>
      </c>
      <c r="I360" s="11">
        <v>44.693947000000001</v>
      </c>
      <c r="J360" s="11">
        <v>-69.381927000000005</v>
      </c>
      <c r="K360" s="11" t="s">
        <v>48</v>
      </c>
      <c r="L360" s="13">
        <v>45495</v>
      </c>
      <c r="M360" s="13">
        <f>DATEVALUE(TEXT(L360,"mm/dd/yy"))</f>
        <v>45495</v>
      </c>
      <c r="N360" s="12">
        <f>'Electronic Shop Sales Dataset'!$D360*'Electronic Shop Sales Dataset'!$E360</f>
        <v>1785.04</v>
      </c>
      <c r="O360" s="12" cm="1">
        <f t="array" ref="O360">_xlfn.IFS($K360="Website",$N360*0.05, $K360="Mobile App",$N360*0.05,TRUE,0)</f>
        <v>89.25200000000001</v>
      </c>
      <c r="P360" s="14" t="str">
        <f>IF(COUNTIF($G$2:G935,G360)&gt;1,"Returning","New")</f>
        <v>New</v>
      </c>
      <c r="Q360" s="24" t="str">
        <f t="shared" si="5"/>
        <v>July</v>
      </c>
      <c r="R360" t="str">
        <v>New Arrival</v>
      </c>
    </row>
    <row r="361" spans="1:18" x14ac:dyDescent="0.25">
      <c r="A361" s="15" t="s">
        <v>49</v>
      </c>
      <c r="B361" s="16" t="str">
        <f>'Electronic Shop Sales Dataset'!$A361&amp;"-"&amp;'Electronic Shop Sales Dataset'!$C361</f>
        <v>P00023-Camera</v>
      </c>
      <c r="C361" s="16" t="s">
        <v>46</v>
      </c>
      <c r="D361" s="17">
        <v>823.24</v>
      </c>
      <c r="E361" s="16">
        <v>3</v>
      </c>
      <c r="F361" s="16" t="s">
        <v>13</v>
      </c>
      <c r="G361" s="16" t="s">
        <v>591</v>
      </c>
      <c r="H361" s="16" t="s">
        <v>80</v>
      </c>
      <c r="I361" s="16">
        <v>39.318522999999999</v>
      </c>
      <c r="J361" s="16">
        <v>-75.507141000000004</v>
      </c>
      <c r="K361" s="16" t="s">
        <v>27</v>
      </c>
      <c r="L361" s="18">
        <v>45496</v>
      </c>
      <c r="M361" s="13">
        <f>DATEVALUE(TEXT(L361,"mm/dd/yy"))</f>
        <v>45496</v>
      </c>
      <c r="N361" s="17">
        <f>'Electronic Shop Sales Dataset'!$D361*'Electronic Shop Sales Dataset'!$E361</f>
        <v>2469.7200000000003</v>
      </c>
      <c r="O361" s="12" cm="1">
        <f t="array" ref="O361">_xlfn.IFS($K361="Website",$N361*0.05, $K361="Mobile App",$N361*0.05,TRUE,0)</f>
        <v>0</v>
      </c>
      <c r="P361" s="14" t="str">
        <f>IF(COUNTIF($G$2:G936,G361)&gt;1,"Returning","New")</f>
        <v>New</v>
      </c>
      <c r="Q361" s="24" t="str">
        <f t="shared" si="5"/>
        <v>July</v>
      </c>
      <c r="R361" t="str">
        <v>New Arrival</v>
      </c>
    </row>
    <row r="362" spans="1:18" x14ac:dyDescent="0.25">
      <c r="A362" s="10" t="s">
        <v>24</v>
      </c>
      <c r="B362" s="11" t="str">
        <f>'Electronic Shop Sales Dataset'!$A362&amp;"-"&amp;'Electronic Shop Sales Dataset'!$C362</f>
        <v>P00013-Headphones</v>
      </c>
      <c r="C362" s="11" t="s">
        <v>55</v>
      </c>
      <c r="D362" s="12">
        <v>219.5</v>
      </c>
      <c r="E362" s="11">
        <v>5</v>
      </c>
      <c r="F362" s="11" t="s">
        <v>43</v>
      </c>
      <c r="G362" s="11" t="s">
        <v>250</v>
      </c>
      <c r="H362" s="11" t="s">
        <v>146</v>
      </c>
      <c r="I362" s="11">
        <v>40.590752000000002</v>
      </c>
      <c r="J362" s="11">
        <v>-77.209755000000001</v>
      </c>
      <c r="K362" s="11" t="s">
        <v>27</v>
      </c>
      <c r="L362" s="13">
        <v>45496</v>
      </c>
      <c r="M362" s="13">
        <f>DATEVALUE(TEXT(L362,"mm/dd/yy"))</f>
        <v>45496</v>
      </c>
      <c r="N362" s="12">
        <f>'Electronic Shop Sales Dataset'!$D362*'Electronic Shop Sales Dataset'!$E362</f>
        <v>1097.5</v>
      </c>
      <c r="O362" s="12" cm="1">
        <f t="array" ref="O362">_xlfn.IFS($K362="Website",$N362*0.05, $K362="Mobile App",$N362*0.05,TRUE,0)</f>
        <v>0</v>
      </c>
      <c r="P362" s="14" t="str">
        <f>IF(COUNTIF($G$2:G937,G362)&gt;1,"Returning","New")</f>
        <v>New</v>
      </c>
      <c r="Q362" s="24" t="str">
        <f t="shared" si="5"/>
        <v>July</v>
      </c>
      <c r="R362" t="str">
        <v>New Arrival</v>
      </c>
    </row>
    <row r="363" spans="1:18" x14ac:dyDescent="0.25">
      <c r="A363" s="15" t="s">
        <v>31</v>
      </c>
      <c r="B363" s="16" t="str">
        <f>'Electronic Shop Sales Dataset'!$A363&amp;"-"&amp;'Electronic Shop Sales Dataset'!$C363</f>
        <v>P00022-Smart TV</v>
      </c>
      <c r="C363" s="16" t="s">
        <v>74</v>
      </c>
      <c r="D363" s="17">
        <v>1123.31</v>
      </c>
      <c r="E363" s="16">
        <v>1</v>
      </c>
      <c r="F363" s="16" t="s">
        <v>43</v>
      </c>
      <c r="G363" s="16" t="s">
        <v>592</v>
      </c>
      <c r="H363" s="16" t="s">
        <v>101</v>
      </c>
      <c r="I363" s="16">
        <v>21.094318000000001</v>
      </c>
      <c r="J363" s="16">
        <v>-157.49833699999999</v>
      </c>
      <c r="K363" s="16" t="s">
        <v>54</v>
      </c>
      <c r="L363" s="18">
        <v>45496</v>
      </c>
      <c r="M363" s="13">
        <f>DATEVALUE(TEXT(L363,"mm/dd/yy"))</f>
        <v>45496</v>
      </c>
      <c r="N363" s="17">
        <f>'Electronic Shop Sales Dataset'!$D363*'Electronic Shop Sales Dataset'!$E363</f>
        <v>1123.31</v>
      </c>
      <c r="O363" s="12" cm="1">
        <f t="array" ref="O363">_xlfn.IFS($K363="Website",$N363*0.05, $K363="Mobile App",$N363*0.05,TRUE,0)</f>
        <v>56.165500000000002</v>
      </c>
      <c r="P363" s="14" t="str">
        <f>IF(COUNTIF($G$2:G938,G363)&gt;1,"Returning","New")</f>
        <v>New</v>
      </c>
      <c r="Q363" s="24" t="str">
        <f t="shared" si="5"/>
        <v>July</v>
      </c>
      <c r="R363" t="str">
        <v>New Arrival</v>
      </c>
    </row>
    <row r="364" spans="1:18" x14ac:dyDescent="0.25">
      <c r="A364" s="10" t="s">
        <v>117</v>
      </c>
      <c r="B364" s="11" t="str">
        <f>'Electronic Shop Sales Dataset'!$A364&amp;"-"&amp;'Electronic Shop Sales Dataset'!$C364</f>
        <v>P00016-Smartphone</v>
      </c>
      <c r="C364" s="11" t="s">
        <v>12</v>
      </c>
      <c r="D364" s="12">
        <v>470.52</v>
      </c>
      <c r="E364" s="11">
        <v>4</v>
      </c>
      <c r="F364" s="11" t="s">
        <v>33</v>
      </c>
      <c r="G364" s="11" t="s">
        <v>236</v>
      </c>
      <c r="H364" s="11" t="s">
        <v>122</v>
      </c>
      <c r="I364" s="11">
        <v>42.755966000000001</v>
      </c>
      <c r="J364" s="11">
        <v>-107.30249000000001</v>
      </c>
      <c r="K364" s="11" t="s">
        <v>15</v>
      </c>
      <c r="L364" s="13">
        <v>45497</v>
      </c>
      <c r="M364" s="13">
        <f>DATEVALUE(TEXT(L364,"mm/dd/yy"))</f>
        <v>45497</v>
      </c>
      <c r="N364" s="12">
        <f>'Electronic Shop Sales Dataset'!$D364*'Electronic Shop Sales Dataset'!$E364</f>
        <v>1882.08</v>
      </c>
      <c r="O364" s="12" cm="1">
        <f t="array" ref="O364">_xlfn.IFS($K364="Website",$N364*0.05, $K364="Mobile App",$N364*0.05,TRUE,0)</f>
        <v>0</v>
      </c>
      <c r="P364" s="14" t="str">
        <f>IF(COUNTIF($G$2:G939,G364)&gt;1,"Returning","New")</f>
        <v>New</v>
      </c>
      <c r="Q364" s="24" t="str">
        <f t="shared" si="5"/>
        <v>July</v>
      </c>
      <c r="R364" t="str">
        <v>New Arrival</v>
      </c>
    </row>
    <row r="365" spans="1:18" x14ac:dyDescent="0.25">
      <c r="A365" s="15" t="s">
        <v>84</v>
      </c>
      <c r="B365" s="16" t="str">
        <f>'Electronic Shop Sales Dataset'!$A365&amp;"-"&amp;'Electronic Shop Sales Dataset'!$C365</f>
        <v>P00020-Mouse</v>
      </c>
      <c r="C365" s="16" t="s">
        <v>95</v>
      </c>
      <c r="D365" s="17">
        <v>45.98</v>
      </c>
      <c r="E365" s="16">
        <v>4</v>
      </c>
      <c r="F365" s="16" t="s">
        <v>33</v>
      </c>
      <c r="G365" s="16" t="s">
        <v>593</v>
      </c>
      <c r="H365" s="16" t="s">
        <v>132</v>
      </c>
      <c r="I365" s="16">
        <v>27.766279000000001</v>
      </c>
      <c r="J365" s="16">
        <v>-81.686783000000005</v>
      </c>
      <c r="K365" s="16" t="s">
        <v>23</v>
      </c>
      <c r="L365" s="18">
        <v>45498</v>
      </c>
      <c r="M365" s="13">
        <f>DATEVALUE(TEXT(L365,"mm/dd/yy"))</f>
        <v>45498</v>
      </c>
      <c r="N365" s="17">
        <f>'Electronic Shop Sales Dataset'!$D365*'Electronic Shop Sales Dataset'!$E365</f>
        <v>183.92</v>
      </c>
      <c r="O365" s="12" cm="1">
        <f t="array" ref="O365">_xlfn.IFS($K365="Website",$N365*0.05, $K365="Mobile App",$N365*0.05,TRUE,0)</f>
        <v>0</v>
      </c>
      <c r="P365" s="14" t="str">
        <f>IF(COUNTIF($G$2:G940,G365)&gt;1,"Returning","New")</f>
        <v>New</v>
      </c>
      <c r="Q365" s="24" t="str">
        <f t="shared" si="5"/>
        <v>July</v>
      </c>
      <c r="R365" t="str">
        <v>New Arrival</v>
      </c>
    </row>
    <row r="366" spans="1:18" x14ac:dyDescent="0.25">
      <c r="A366" s="10" t="s">
        <v>31</v>
      </c>
      <c r="B366" s="11" t="str">
        <f>'Electronic Shop Sales Dataset'!$A366&amp;"-"&amp;'Electronic Shop Sales Dataset'!$C366</f>
        <v>P00022-Headphones</v>
      </c>
      <c r="C366" s="11" t="s">
        <v>55</v>
      </c>
      <c r="D366" s="12">
        <v>58</v>
      </c>
      <c r="E366" s="11">
        <v>1</v>
      </c>
      <c r="F366" s="11" t="s">
        <v>13</v>
      </c>
      <c r="G366" s="11" t="s">
        <v>594</v>
      </c>
      <c r="H366" s="11" t="s">
        <v>18</v>
      </c>
      <c r="I366" s="11">
        <v>47.528911999999998</v>
      </c>
      <c r="J366" s="11">
        <v>-99.784012000000004</v>
      </c>
      <c r="K366" s="11" t="s">
        <v>54</v>
      </c>
      <c r="L366" s="13">
        <v>45499</v>
      </c>
      <c r="M366" s="13">
        <f>DATEVALUE(TEXT(L366,"mm/dd/yy"))</f>
        <v>45499</v>
      </c>
      <c r="N366" s="12">
        <f>'Electronic Shop Sales Dataset'!$D366*'Electronic Shop Sales Dataset'!$E366</f>
        <v>58</v>
      </c>
      <c r="O366" s="12" cm="1">
        <f t="array" ref="O366">_xlfn.IFS($K366="Website",$N366*0.05, $K366="Mobile App",$N366*0.05,TRUE,0)</f>
        <v>2.9000000000000004</v>
      </c>
      <c r="P366" s="14" t="str">
        <f>IF(COUNTIF($G$2:G941,G366)&gt;1,"Returning","New")</f>
        <v>New</v>
      </c>
      <c r="Q366" s="24" t="str">
        <f t="shared" si="5"/>
        <v>July</v>
      </c>
      <c r="R366" t="str">
        <v>New Arrival</v>
      </c>
    </row>
    <row r="367" spans="1:18" x14ac:dyDescent="0.25">
      <c r="A367" s="15" t="s">
        <v>84</v>
      </c>
      <c r="B367" s="16" t="str">
        <f>'Electronic Shop Sales Dataset'!$A367&amp;"-"&amp;'Electronic Shop Sales Dataset'!$C367</f>
        <v>P00020-Keyboard</v>
      </c>
      <c r="C367" s="16" t="s">
        <v>29</v>
      </c>
      <c r="D367" s="17">
        <v>117.33</v>
      </c>
      <c r="E367" s="16">
        <v>4</v>
      </c>
      <c r="F367" s="16" t="s">
        <v>33</v>
      </c>
      <c r="G367" s="16" t="s">
        <v>595</v>
      </c>
      <c r="H367" s="16" t="s">
        <v>115</v>
      </c>
      <c r="I367" s="16">
        <v>38.456085000000002</v>
      </c>
      <c r="J367" s="16">
        <v>-92.288368000000006</v>
      </c>
      <c r="K367" s="16" t="s">
        <v>27</v>
      </c>
      <c r="L367" s="18">
        <v>45500</v>
      </c>
      <c r="M367" s="13">
        <f>DATEVALUE(TEXT(L367,"mm/dd/yy"))</f>
        <v>45500</v>
      </c>
      <c r="N367" s="17">
        <f>'Electronic Shop Sales Dataset'!$D367*'Electronic Shop Sales Dataset'!$E367</f>
        <v>469.32</v>
      </c>
      <c r="O367" s="12" cm="1">
        <f t="array" ref="O367">_xlfn.IFS($K367="Website",$N367*0.05, $K367="Mobile App",$N367*0.05,TRUE,0)</f>
        <v>0</v>
      </c>
      <c r="P367" s="14" t="str">
        <f>IF(COUNTIF($G$2:G942,G367)&gt;1,"Returning","New")</f>
        <v>New</v>
      </c>
      <c r="Q367" s="24" t="str">
        <f t="shared" si="5"/>
        <v>July</v>
      </c>
      <c r="R367" t="str">
        <v>New Arrival</v>
      </c>
    </row>
    <row r="368" spans="1:18" x14ac:dyDescent="0.25">
      <c r="A368" s="10" t="s">
        <v>31</v>
      </c>
      <c r="B368" s="11" t="str">
        <f>'Electronic Shop Sales Dataset'!$A368&amp;"-"&amp;'Electronic Shop Sales Dataset'!$C368</f>
        <v>P00022-Projector</v>
      </c>
      <c r="C368" s="11" t="s">
        <v>65</v>
      </c>
      <c r="D368" s="12">
        <v>377.49</v>
      </c>
      <c r="E368" s="11">
        <v>1</v>
      </c>
      <c r="F368" s="11" t="s">
        <v>43</v>
      </c>
      <c r="G368" s="11" t="s">
        <v>265</v>
      </c>
      <c r="H368" s="11" t="s">
        <v>40</v>
      </c>
      <c r="I368" s="11">
        <v>44.572020999999999</v>
      </c>
      <c r="J368" s="11">
        <v>-122.070938</v>
      </c>
      <c r="K368" s="11" t="s">
        <v>27</v>
      </c>
      <c r="L368" s="13">
        <v>45501</v>
      </c>
      <c r="M368" s="13">
        <f>DATEVALUE(TEXT(L368,"mm/dd/yy"))</f>
        <v>45501</v>
      </c>
      <c r="N368" s="12">
        <f>'Electronic Shop Sales Dataset'!$D368*'Electronic Shop Sales Dataset'!$E368</f>
        <v>377.49</v>
      </c>
      <c r="O368" s="12" cm="1">
        <f t="array" ref="O368">_xlfn.IFS($K368="Website",$N368*0.05, $K368="Mobile App",$N368*0.05,TRUE,0)</f>
        <v>0</v>
      </c>
      <c r="P368" s="14" t="str">
        <f>IF(COUNTIF($G$2:G943,G368)&gt;1,"Returning","New")</f>
        <v>New</v>
      </c>
      <c r="Q368" s="24" t="str">
        <f t="shared" si="5"/>
        <v>July</v>
      </c>
      <c r="R368" t="str">
        <v>New Arrival</v>
      </c>
    </row>
    <row r="369" spans="1:18" x14ac:dyDescent="0.25">
      <c r="A369" s="15" t="s">
        <v>35</v>
      </c>
      <c r="B369" s="16" t="str">
        <f>'Electronic Shop Sales Dataset'!$A369&amp;"-"&amp;'Electronic Shop Sales Dataset'!$C369</f>
        <v>P00008-Headphones</v>
      </c>
      <c r="C369" s="16" t="s">
        <v>55</v>
      </c>
      <c r="D369" s="17">
        <v>54.98</v>
      </c>
      <c r="E369" s="16">
        <v>4</v>
      </c>
      <c r="F369" s="16" t="s">
        <v>33</v>
      </c>
      <c r="G369" s="16" t="s">
        <v>596</v>
      </c>
      <c r="H369" s="16" t="s">
        <v>37</v>
      </c>
      <c r="I369" s="16">
        <v>37.769337</v>
      </c>
      <c r="J369" s="16">
        <v>-78.169967999999997</v>
      </c>
      <c r="K369" s="16" t="s">
        <v>27</v>
      </c>
      <c r="L369" s="18">
        <v>45503</v>
      </c>
      <c r="M369" s="13">
        <f>DATEVALUE(TEXT(L369,"mm/dd/yy"))</f>
        <v>45503</v>
      </c>
      <c r="N369" s="17">
        <f>'Electronic Shop Sales Dataset'!$D369*'Electronic Shop Sales Dataset'!$E369</f>
        <v>219.92</v>
      </c>
      <c r="O369" s="12" cm="1">
        <f t="array" ref="O369">_xlfn.IFS($K369="Website",$N369*0.05, $K369="Mobile App",$N369*0.05,TRUE,0)</f>
        <v>0</v>
      </c>
      <c r="P369" s="14" t="str">
        <f>IF(COUNTIF($G$2:G944,G369)&gt;1,"Returning","New")</f>
        <v>New</v>
      </c>
      <c r="Q369" s="24" t="str">
        <f t="shared" si="5"/>
        <v>July</v>
      </c>
      <c r="R369" t="str">
        <v>New Arrival</v>
      </c>
    </row>
    <row r="370" spans="1:18" x14ac:dyDescent="0.25">
      <c r="A370" s="10" t="s">
        <v>11</v>
      </c>
      <c r="B370" s="11" t="str">
        <f>'Electronic Shop Sales Dataset'!$A370&amp;"-"&amp;'Electronic Shop Sales Dataset'!$C370</f>
        <v>P00019-Smart TV</v>
      </c>
      <c r="C370" s="11" t="s">
        <v>74</v>
      </c>
      <c r="D370" s="12">
        <v>415.13</v>
      </c>
      <c r="E370" s="11">
        <v>3</v>
      </c>
      <c r="F370" s="11" t="s">
        <v>21</v>
      </c>
      <c r="G370" s="11" t="s">
        <v>597</v>
      </c>
      <c r="H370" s="11" t="s">
        <v>158</v>
      </c>
      <c r="I370" s="11">
        <v>44.240459000000001</v>
      </c>
      <c r="J370" s="11">
        <v>-114.47882799999999</v>
      </c>
      <c r="K370" s="11" t="s">
        <v>23</v>
      </c>
      <c r="L370" s="13">
        <v>45503</v>
      </c>
      <c r="M370" s="13">
        <f>DATEVALUE(TEXT(L370,"mm/dd/yy"))</f>
        <v>45503</v>
      </c>
      <c r="N370" s="12">
        <f>'Electronic Shop Sales Dataset'!$D370*'Electronic Shop Sales Dataset'!$E370</f>
        <v>1245.3899999999999</v>
      </c>
      <c r="O370" s="12" cm="1">
        <f t="array" ref="O370">_xlfn.IFS($K370="Website",$N370*0.05, $K370="Mobile App",$N370*0.05,TRUE,0)</f>
        <v>0</v>
      </c>
      <c r="P370" s="14" t="str">
        <f>IF(COUNTIF($G$2:G945,G370)&gt;1,"Returning","New")</f>
        <v>New</v>
      </c>
      <c r="Q370" s="24" t="str">
        <f t="shared" si="5"/>
        <v>July</v>
      </c>
      <c r="R370" t="str">
        <v>New Arrival</v>
      </c>
    </row>
    <row r="371" spans="1:18" x14ac:dyDescent="0.25">
      <c r="A371" s="15" t="s">
        <v>24</v>
      </c>
      <c r="B371" s="16" t="str">
        <f>'Electronic Shop Sales Dataset'!$A371&amp;"-"&amp;'Electronic Shop Sales Dataset'!$C371</f>
        <v>P00013-Hard Disk</v>
      </c>
      <c r="C371" s="16" t="s">
        <v>97</v>
      </c>
      <c r="D371" s="17">
        <v>56.47</v>
      </c>
      <c r="E371" s="16">
        <v>1</v>
      </c>
      <c r="F371" s="16" t="s">
        <v>13</v>
      </c>
      <c r="G371" s="16" t="s">
        <v>598</v>
      </c>
      <c r="H371" s="16" t="s">
        <v>96</v>
      </c>
      <c r="I371" s="16">
        <v>42.011538999999999</v>
      </c>
      <c r="J371" s="16">
        <v>-93.210526000000002</v>
      </c>
      <c r="K371" s="16" t="s">
        <v>48</v>
      </c>
      <c r="L371" s="18">
        <v>45503</v>
      </c>
      <c r="M371" s="13">
        <f>DATEVALUE(TEXT(L371,"mm/dd/yy"))</f>
        <v>45503</v>
      </c>
      <c r="N371" s="17">
        <f>'Electronic Shop Sales Dataset'!$D371*'Electronic Shop Sales Dataset'!$E371</f>
        <v>56.47</v>
      </c>
      <c r="O371" s="12" cm="1">
        <f t="array" ref="O371">_xlfn.IFS($K371="Website",$N371*0.05, $K371="Mobile App",$N371*0.05,TRUE,0)</f>
        <v>2.8235000000000001</v>
      </c>
      <c r="P371" s="14" t="str">
        <f>IF(COUNTIF($G$2:G946,G371)&gt;1,"Returning","New")</f>
        <v>New</v>
      </c>
      <c r="Q371" s="24" t="str">
        <f t="shared" si="5"/>
        <v>July</v>
      </c>
      <c r="R371" t="str">
        <v>New Arrival</v>
      </c>
    </row>
    <row r="372" spans="1:18" x14ac:dyDescent="0.25">
      <c r="A372" s="10" t="s">
        <v>88</v>
      </c>
      <c r="B372" s="11" t="str">
        <f>'Electronic Shop Sales Dataset'!$A372&amp;"-"&amp;'Electronic Shop Sales Dataset'!$C372</f>
        <v>P00018-Camera</v>
      </c>
      <c r="C372" s="11" t="s">
        <v>46</v>
      </c>
      <c r="D372" s="12">
        <v>1783.07</v>
      </c>
      <c r="E372" s="11">
        <v>1</v>
      </c>
      <c r="F372" s="11" t="s">
        <v>43</v>
      </c>
      <c r="G372" s="11" t="s">
        <v>599</v>
      </c>
      <c r="H372" s="11" t="s">
        <v>115</v>
      </c>
      <c r="I372" s="11">
        <v>38.456085000000002</v>
      </c>
      <c r="J372" s="11">
        <v>-92.288368000000006</v>
      </c>
      <c r="K372" s="11" t="s">
        <v>27</v>
      </c>
      <c r="L372" s="13">
        <v>45504</v>
      </c>
      <c r="M372" s="13">
        <f>DATEVALUE(TEXT(L372,"mm/dd/yy"))</f>
        <v>45504</v>
      </c>
      <c r="N372" s="12">
        <f>'Electronic Shop Sales Dataset'!$D372*'Electronic Shop Sales Dataset'!$E372</f>
        <v>1783.07</v>
      </c>
      <c r="O372" s="12" cm="1">
        <f t="array" ref="O372">_xlfn.IFS($K372="Website",$N372*0.05, $K372="Mobile App",$N372*0.05,TRUE,0)</f>
        <v>0</v>
      </c>
      <c r="P372" s="14" t="str">
        <f>IF(COUNTIF($G$2:G947,G372)&gt;1,"Returning","New")</f>
        <v>New</v>
      </c>
      <c r="Q372" s="24" t="str">
        <f t="shared" si="5"/>
        <v>July</v>
      </c>
      <c r="R372" t="str">
        <v>New Arrival</v>
      </c>
    </row>
    <row r="373" spans="1:18" x14ac:dyDescent="0.25">
      <c r="A373" s="15" t="s">
        <v>24</v>
      </c>
      <c r="B373" s="16" t="str">
        <f>'Electronic Shop Sales Dataset'!$A373&amp;"-"&amp;'Electronic Shop Sales Dataset'!$C373</f>
        <v>P00013-Router</v>
      </c>
      <c r="C373" s="16" t="s">
        <v>39</v>
      </c>
      <c r="D373" s="17">
        <v>218.27</v>
      </c>
      <c r="E373" s="16">
        <v>2</v>
      </c>
      <c r="F373" s="16" t="s">
        <v>43</v>
      </c>
      <c r="G373" s="16" t="s">
        <v>600</v>
      </c>
      <c r="H373" s="16" t="s">
        <v>22</v>
      </c>
      <c r="I373" s="16">
        <v>32.741646000000003</v>
      </c>
      <c r="J373" s="16">
        <v>-89.678696000000002</v>
      </c>
      <c r="K373" s="16" t="s">
        <v>27</v>
      </c>
      <c r="L373" s="18">
        <v>45506</v>
      </c>
      <c r="M373" s="13">
        <f>DATEVALUE(TEXT(L373,"mm/dd/yy"))</f>
        <v>45506</v>
      </c>
      <c r="N373" s="17">
        <f>'Electronic Shop Sales Dataset'!$D373*'Electronic Shop Sales Dataset'!$E373</f>
        <v>436.54</v>
      </c>
      <c r="O373" s="12" cm="1">
        <f t="array" ref="O373">_xlfn.IFS($K373="Website",$N373*0.05, $K373="Mobile App",$N373*0.05,TRUE,0)</f>
        <v>0</v>
      </c>
      <c r="P373" s="14" t="str">
        <f>IF(COUNTIF($G$2:G948,G373)&gt;1,"Returning","New")</f>
        <v>New</v>
      </c>
      <c r="Q373" s="24" t="str">
        <f t="shared" si="5"/>
        <v>August</v>
      </c>
      <c r="R373" t="str">
        <v>New Arrival</v>
      </c>
    </row>
    <row r="374" spans="1:18" x14ac:dyDescent="0.25">
      <c r="A374" s="10" t="s">
        <v>84</v>
      </c>
      <c r="B374" s="11" t="str">
        <f>'Electronic Shop Sales Dataset'!$A374&amp;"-"&amp;'Electronic Shop Sales Dataset'!$C374</f>
        <v>P00020-Laptop</v>
      </c>
      <c r="C374" s="11" t="s">
        <v>89</v>
      </c>
      <c r="D374" s="12">
        <v>1091.08</v>
      </c>
      <c r="E374" s="11">
        <v>5</v>
      </c>
      <c r="F374" s="11" t="s">
        <v>43</v>
      </c>
      <c r="G374" s="11" t="s">
        <v>601</v>
      </c>
      <c r="H374" s="11" t="s">
        <v>40</v>
      </c>
      <c r="I374" s="11">
        <v>44.572020999999999</v>
      </c>
      <c r="J374" s="11">
        <v>-122.070938</v>
      </c>
      <c r="K374" s="11" t="s">
        <v>27</v>
      </c>
      <c r="L374" s="13">
        <v>45506</v>
      </c>
      <c r="M374" s="13">
        <f>DATEVALUE(TEXT(L374,"mm/dd/yy"))</f>
        <v>45506</v>
      </c>
      <c r="N374" s="12">
        <f>'Electronic Shop Sales Dataset'!$D374*'Electronic Shop Sales Dataset'!$E374</f>
        <v>5455.4</v>
      </c>
      <c r="O374" s="12" cm="1">
        <f t="array" ref="O374">_xlfn.IFS($K374="Website",$N374*0.05, $K374="Mobile App",$N374*0.05,TRUE,0)</f>
        <v>0</v>
      </c>
      <c r="P374" s="14" t="str">
        <f>IF(COUNTIF($G$2:G949,G374)&gt;1,"Returning","New")</f>
        <v>New</v>
      </c>
      <c r="Q374" s="24" t="str">
        <f t="shared" si="5"/>
        <v>August</v>
      </c>
      <c r="R374" t="str">
        <v>Old Stock</v>
      </c>
    </row>
    <row r="375" spans="1:18" x14ac:dyDescent="0.25">
      <c r="A375" s="15" t="s">
        <v>28</v>
      </c>
      <c r="B375" s="16" t="str">
        <f>'Electronic Shop Sales Dataset'!$A375&amp;"-"&amp;'Electronic Shop Sales Dataset'!$C375</f>
        <v>P00006-USB Drive</v>
      </c>
      <c r="C375" s="16" t="s">
        <v>36</v>
      </c>
      <c r="D375" s="17">
        <v>35.840000000000003</v>
      </c>
      <c r="E375" s="16">
        <v>4</v>
      </c>
      <c r="F375" s="16" t="s">
        <v>43</v>
      </c>
      <c r="G375" s="16" t="s">
        <v>602</v>
      </c>
      <c r="H375" s="16" t="s">
        <v>109</v>
      </c>
      <c r="I375" s="16">
        <v>44.299782</v>
      </c>
      <c r="J375" s="16">
        <v>-99.438828000000001</v>
      </c>
      <c r="K375" s="16" t="s">
        <v>27</v>
      </c>
      <c r="L375" s="18">
        <v>45507</v>
      </c>
      <c r="M375" s="13">
        <f>DATEVALUE(TEXT(L375,"mm/dd/yy"))</f>
        <v>45507</v>
      </c>
      <c r="N375" s="17">
        <f>'Electronic Shop Sales Dataset'!$D375*'Electronic Shop Sales Dataset'!$E375</f>
        <v>143.36000000000001</v>
      </c>
      <c r="O375" s="12" cm="1">
        <f t="array" ref="O375">_xlfn.IFS($K375="Website",$N375*0.05, $K375="Mobile App",$N375*0.05,TRUE,0)</f>
        <v>0</v>
      </c>
      <c r="P375" s="14" t="str">
        <f>IF(COUNTIF($G$2:G950,G375)&gt;1,"Returning","New")</f>
        <v>New</v>
      </c>
      <c r="Q375" s="24" t="str">
        <f t="shared" si="5"/>
        <v>August</v>
      </c>
      <c r="R375" t="str">
        <v>New Arrival</v>
      </c>
    </row>
    <row r="376" spans="1:18" x14ac:dyDescent="0.25">
      <c r="A376" s="10" t="s">
        <v>49</v>
      </c>
      <c r="B376" s="11" t="str">
        <f>'Electronic Shop Sales Dataset'!$A376&amp;"-"&amp;'Electronic Shop Sales Dataset'!$C376</f>
        <v>P00023-Hard Disk</v>
      </c>
      <c r="C376" s="11" t="s">
        <v>97</v>
      </c>
      <c r="D376" s="12">
        <v>160.52000000000001</v>
      </c>
      <c r="E376" s="11">
        <v>5</v>
      </c>
      <c r="F376" s="11" t="s">
        <v>33</v>
      </c>
      <c r="G376" s="11" t="s">
        <v>603</v>
      </c>
      <c r="H376" s="11" t="s">
        <v>132</v>
      </c>
      <c r="I376" s="11">
        <v>27.766279000000001</v>
      </c>
      <c r="J376" s="11">
        <v>-81.686783000000005</v>
      </c>
      <c r="K376" s="11" t="s">
        <v>27</v>
      </c>
      <c r="L376" s="13">
        <v>45507</v>
      </c>
      <c r="M376" s="13">
        <f>DATEVALUE(TEXT(L376,"mm/dd/yy"))</f>
        <v>45507</v>
      </c>
      <c r="N376" s="12">
        <f>'Electronic Shop Sales Dataset'!$D376*'Electronic Shop Sales Dataset'!$E376</f>
        <v>802.6</v>
      </c>
      <c r="O376" s="12" cm="1">
        <f t="array" ref="O376">_xlfn.IFS($K376="Website",$N376*0.05, $K376="Mobile App",$N376*0.05,TRUE,0)</f>
        <v>0</v>
      </c>
      <c r="P376" s="14" t="str">
        <f>IF(COUNTIF($G$2:G951,G376)&gt;1,"Returning","New")</f>
        <v>New</v>
      </c>
      <c r="Q376" s="24" t="str">
        <f t="shared" si="5"/>
        <v>August</v>
      </c>
      <c r="R376" t="str">
        <v>New Arrival</v>
      </c>
    </row>
    <row r="377" spans="1:18" x14ac:dyDescent="0.25">
      <c r="A377" s="15" t="s">
        <v>117</v>
      </c>
      <c r="B377" s="16" t="str">
        <f>'Electronic Shop Sales Dataset'!$A377&amp;"-"&amp;'Electronic Shop Sales Dataset'!$C377</f>
        <v>P00016-Hard Disk</v>
      </c>
      <c r="C377" s="16" t="s">
        <v>97</v>
      </c>
      <c r="D377" s="17">
        <v>117.38</v>
      </c>
      <c r="E377" s="16">
        <v>3</v>
      </c>
      <c r="F377" s="16" t="s">
        <v>21</v>
      </c>
      <c r="G377" s="16" t="s">
        <v>241</v>
      </c>
      <c r="H377" s="16" t="s">
        <v>99</v>
      </c>
      <c r="I377" s="16">
        <v>37.668140000000001</v>
      </c>
      <c r="J377" s="16">
        <v>-84.670067000000003</v>
      </c>
      <c r="K377" s="16" t="s">
        <v>54</v>
      </c>
      <c r="L377" s="18">
        <v>45509</v>
      </c>
      <c r="M377" s="13">
        <f>DATEVALUE(TEXT(L377,"mm/dd/yy"))</f>
        <v>45509</v>
      </c>
      <c r="N377" s="17">
        <f>'Electronic Shop Sales Dataset'!$D377*'Electronic Shop Sales Dataset'!$E377</f>
        <v>352.14</v>
      </c>
      <c r="O377" s="12" cm="1">
        <f t="array" ref="O377">_xlfn.IFS($K377="Website",$N377*0.05, $K377="Mobile App",$N377*0.05,TRUE,0)</f>
        <v>17.606999999999999</v>
      </c>
      <c r="P377" s="14" t="str">
        <f>IF(COUNTIF($G$2:G952,G377)&gt;1,"Returning","New")</f>
        <v>New</v>
      </c>
      <c r="Q377" s="24" t="str">
        <f t="shared" si="5"/>
        <v>August</v>
      </c>
      <c r="R377" t="str">
        <v>New Arrival</v>
      </c>
    </row>
    <row r="378" spans="1:18" x14ac:dyDescent="0.25">
      <c r="A378" s="10" t="s">
        <v>86</v>
      </c>
      <c r="B378" s="11" t="str">
        <f>'Electronic Shop Sales Dataset'!$A378&amp;"-"&amp;'Electronic Shop Sales Dataset'!$C378</f>
        <v>P00021-Power Bank</v>
      </c>
      <c r="C378" s="11" t="s">
        <v>124</v>
      </c>
      <c r="D378" s="12">
        <v>40.35</v>
      </c>
      <c r="E378" s="11">
        <v>4</v>
      </c>
      <c r="F378" s="11" t="s">
        <v>33</v>
      </c>
      <c r="G378" s="11" t="s">
        <v>604</v>
      </c>
      <c r="H378" s="11" t="s">
        <v>156</v>
      </c>
      <c r="I378" s="11">
        <v>41.125369999999997</v>
      </c>
      <c r="J378" s="11">
        <v>-98.268082000000007</v>
      </c>
      <c r="K378" s="11" t="s">
        <v>54</v>
      </c>
      <c r="L378" s="13">
        <v>45510</v>
      </c>
      <c r="M378" s="13">
        <f>DATEVALUE(TEXT(L378,"mm/dd/yy"))</f>
        <v>45510</v>
      </c>
      <c r="N378" s="12">
        <f>'Electronic Shop Sales Dataset'!$D378*'Electronic Shop Sales Dataset'!$E378</f>
        <v>161.4</v>
      </c>
      <c r="O378" s="12" cm="1">
        <f t="array" ref="O378">_xlfn.IFS($K378="Website",$N378*0.05, $K378="Mobile App",$N378*0.05,TRUE,0)</f>
        <v>8.07</v>
      </c>
      <c r="P378" s="14" t="str">
        <f>IF(COUNTIF($G$2:G953,G378)&gt;1,"Returning","New")</f>
        <v>New</v>
      </c>
      <c r="Q378" s="24" t="str">
        <f t="shared" si="5"/>
        <v>August</v>
      </c>
      <c r="R378" t="str">
        <v>New Arrival</v>
      </c>
    </row>
    <row r="379" spans="1:18" x14ac:dyDescent="0.25">
      <c r="A379" s="15" t="s">
        <v>49</v>
      </c>
      <c r="B379" s="16" t="str">
        <f>'Electronic Shop Sales Dataset'!$A379&amp;"-"&amp;'Electronic Shop Sales Dataset'!$C379</f>
        <v>P00023-Speaker</v>
      </c>
      <c r="C379" s="16" t="s">
        <v>106</v>
      </c>
      <c r="D379" s="17">
        <v>239.87</v>
      </c>
      <c r="E379" s="16">
        <v>3</v>
      </c>
      <c r="F379" s="16" t="s">
        <v>43</v>
      </c>
      <c r="G379" s="16" t="s">
        <v>605</v>
      </c>
      <c r="H379" s="16" t="s">
        <v>45</v>
      </c>
      <c r="I379" s="16">
        <v>36.116202999999999</v>
      </c>
      <c r="J379" s="16">
        <v>-119.68156399999999</v>
      </c>
      <c r="K379" s="16" t="s">
        <v>54</v>
      </c>
      <c r="L379" s="18">
        <v>45511</v>
      </c>
      <c r="M379" s="13">
        <f>DATEVALUE(TEXT(L379,"mm/dd/yy"))</f>
        <v>45511</v>
      </c>
      <c r="N379" s="17">
        <f>'Electronic Shop Sales Dataset'!$D379*'Electronic Shop Sales Dataset'!$E379</f>
        <v>719.61</v>
      </c>
      <c r="O379" s="12" cm="1">
        <f t="array" ref="O379">_xlfn.IFS($K379="Website",$N379*0.05, $K379="Mobile App",$N379*0.05,TRUE,0)</f>
        <v>35.980499999999999</v>
      </c>
      <c r="P379" s="14" t="str">
        <f>IF(COUNTIF($G$2:G954,G379)&gt;1,"Returning","New")</f>
        <v>New</v>
      </c>
      <c r="Q379" s="24" t="str">
        <f t="shared" si="5"/>
        <v>August</v>
      </c>
      <c r="R379" t="str">
        <v>New Arrival</v>
      </c>
    </row>
    <row r="380" spans="1:18" x14ac:dyDescent="0.25">
      <c r="A380" s="10" t="s">
        <v>31</v>
      </c>
      <c r="B380" s="11" t="str">
        <f>'Electronic Shop Sales Dataset'!$A380&amp;"-"&amp;'Electronic Shop Sales Dataset'!$C380</f>
        <v>P00022-Tablet</v>
      </c>
      <c r="C380" s="11" t="s">
        <v>83</v>
      </c>
      <c r="D380" s="12">
        <v>741.45</v>
      </c>
      <c r="E380" s="11">
        <v>5</v>
      </c>
      <c r="F380" s="11" t="s">
        <v>13</v>
      </c>
      <c r="G380" s="11" t="s">
        <v>606</v>
      </c>
      <c r="H380" s="11" t="s">
        <v>96</v>
      </c>
      <c r="I380" s="11">
        <v>42.011538999999999</v>
      </c>
      <c r="J380" s="11">
        <v>-93.210526000000002</v>
      </c>
      <c r="K380" s="11" t="s">
        <v>15</v>
      </c>
      <c r="L380" s="13">
        <v>45513</v>
      </c>
      <c r="M380" s="13">
        <f>DATEVALUE(TEXT(L380,"mm/dd/yy"))</f>
        <v>45513</v>
      </c>
      <c r="N380" s="12">
        <f>'Electronic Shop Sales Dataset'!$D380*'Electronic Shop Sales Dataset'!$E380</f>
        <v>3707.25</v>
      </c>
      <c r="O380" s="12" cm="1">
        <f t="array" ref="O380">_xlfn.IFS($K380="Website",$N380*0.05, $K380="Mobile App",$N380*0.05,TRUE,0)</f>
        <v>0</v>
      </c>
      <c r="P380" s="14" t="str">
        <f>IF(COUNTIF($G$2:G955,G380)&gt;1,"Returning","New")</f>
        <v>New</v>
      </c>
      <c r="Q380" s="24" t="str">
        <f t="shared" si="5"/>
        <v>August</v>
      </c>
      <c r="R380" t="str">
        <v>New Arrival</v>
      </c>
    </row>
    <row r="381" spans="1:18" x14ac:dyDescent="0.25">
      <c r="A381" s="15" t="s">
        <v>35</v>
      </c>
      <c r="B381" s="16" t="str">
        <f>'Electronic Shop Sales Dataset'!$A381&amp;"-"&amp;'Electronic Shop Sales Dataset'!$C381</f>
        <v>P00008-Speaker</v>
      </c>
      <c r="C381" s="16" t="s">
        <v>106</v>
      </c>
      <c r="D381" s="17">
        <v>274.49</v>
      </c>
      <c r="E381" s="16">
        <v>1</v>
      </c>
      <c r="F381" s="16" t="s">
        <v>13</v>
      </c>
      <c r="G381" s="16" t="s">
        <v>607</v>
      </c>
      <c r="H381" s="16" t="s">
        <v>132</v>
      </c>
      <c r="I381" s="16">
        <v>27.766279000000001</v>
      </c>
      <c r="J381" s="16">
        <v>-81.686783000000005</v>
      </c>
      <c r="K381" s="16" t="s">
        <v>48</v>
      </c>
      <c r="L381" s="18">
        <v>45513</v>
      </c>
      <c r="M381" s="13">
        <f>DATEVALUE(TEXT(L381,"mm/dd/yy"))</f>
        <v>45513</v>
      </c>
      <c r="N381" s="17">
        <f>'Electronic Shop Sales Dataset'!$D381*'Electronic Shop Sales Dataset'!$E381</f>
        <v>274.49</v>
      </c>
      <c r="O381" s="12" cm="1">
        <f t="array" ref="O381">_xlfn.IFS($K381="Website",$N381*0.05, $K381="Mobile App",$N381*0.05,TRUE,0)</f>
        <v>13.724500000000001</v>
      </c>
      <c r="P381" s="14" t="str">
        <f>IF(COUNTIF($G$2:G956,G381)&gt;1,"Returning","New")</f>
        <v>New</v>
      </c>
      <c r="Q381" s="24" t="str">
        <f t="shared" si="5"/>
        <v>August</v>
      </c>
      <c r="R381" t="str">
        <v>New Arrival</v>
      </c>
    </row>
    <row r="382" spans="1:18" x14ac:dyDescent="0.25">
      <c r="A382" s="10" t="s">
        <v>92</v>
      </c>
      <c r="B382" s="11" t="str">
        <f>'Electronic Shop Sales Dataset'!$A382&amp;"-"&amp;'Electronic Shop Sales Dataset'!$C382</f>
        <v>P00004-Speaker</v>
      </c>
      <c r="C382" s="11" t="s">
        <v>106</v>
      </c>
      <c r="D382" s="12">
        <v>236.95</v>
      </c>
      <c r="E382" s="11">
        <v>2</v>
      </c>
      <c r="F382" s="11" t="s">
        <v>33</v>
      </c>
      <c r="G382" s="11" t="s">
        <v>252</v>
      </c>
      <c r="H382" s="11" t="s">
        <v>94</v>
      </c>
      <c r="I382" s="11">
        <v>41.597782000000002</v>
      </c>
      <c r="J382" s="11">
        <v>-72.755370999999997</v>
      </c>
      <c r="K382" s="11" t="s">
        <v>23</v>
      </c>
      <c r="L382" s="13">
        <v>45513</v>
      </c>
      <c r="M382" s="13">
        <f>DATEVALUE(TEXT(L382,"mm/dd/yy"))</f>
        <v>45513</v>
      </c>
      <c r="N382" s="12">
        <f>'Electronic Shop Sales Dataset'!$D382*'Electronic Shop Sales Dataset'!$E382</f>
        <v>473.9</v>
      </c>
      <c r="O382" s="12" cm="1">
        <f t="array" ref="O382">_xlfn.IFS($K382="Website",$N382*0.05, $K382="Mobile App",$N382*0.05,TRUE,0)</f>
        <v>0</v>
      </c>
      <c r="P382" s="14" t="str">
        <f>IF(COUNTIF($G$2:G957,G382)&gt;1,"Returning","New")</f>
        <v>New</v>
      </c>
      <c r="Q382" s="24" t="str">
        <f t="shared" si="5"/>
        <v>August</v>
      </c>
      <c r="R382" t="str">
        <v>New Arrival</v>
      </c>
    </row>
    <row r="383" spans="1:18" x14ac:dyDescent="0.25">
      <c r="A383" s="15" t="s">
        <v>11</v>
      </c>
      <c r="B383" s="16" t="str">
        <f>'Electronic Shop Sales Dataset'!$A383&amp;"-"&amp;'Electronic Shop Sales Dataset'!$C383</f>
        <v>P00019-VR Headset</v>
      </c>
      <c r="C383" s="16" t="s">
        <v>72</v>
      </c>
      <c r="D383" s="17">
        <v>596.75</v>
      </c>
      <c r="E383" s="16">
        <v>2</v>
      </c>
      <c r="F383" s="16" t="s">
        <v>33</v>
      </c>
      <c r="G383" s="16" t="s">
        <v>608</v>
      </c>
      <c r="H383" s="16" t="s">
        <v>47</v>
      </c>
      <c r="I383" s="16">
        <v>44.045876</v>
      </c>
      <c r="J383" s="16">
        <v>-72.710685999999995</v>
      </c>
      <c r="K383" s="16" t="s">
        <v>27</v>
      </c>
      <c r="L383" s="18">
        <v>45514</v>
      </c>
      <c r="M383" s="13">
        <f>DATEVALUE(TEXT(L383,"mm/dd/yy"))</f>
        <v>45514</v>
      </c>
      <c r="N383" s="17">
        <f>'Electronic Shop Sales Dataset'!$D383*'Electronic Shop Sales Dataset'!$E383</f>
        <v>1193.5</v>
      </c>
      <c r="O383" s="12" cm="1">
        <f t="array" ref="O383">_xlfn.IFS($K383="Website",$N383*0.05, $K383="Mobile App",$N383*0.05,TRUE,0)</f>
        <v>0</v>
      </c>
      <c r="P383" s="14" t="str">
        <f>IF(COUNTIF($G$2:G958,G383)&gt;1,"Returning","New")</f>
        <v>New</v>
      </c>
      <c r="Q383" s="24" t="str">
        <f t="shared" si="5"/>
        <v>August</v>
      </c>
      <c r="R383" t="str">
        <v>New Arrival</v>
      </c>
    </row>
    <row r="384" spans="1:18" x14ac:dyDescent="0.25">
      <c r="A384" s="10" t="s">
        <v>16</v>
      </c>
      <c r="B384" s="11" t="str">
        <f>'Electronic Shop Sales Dataset'!$A384&amp;"-"&amp;'Electronic Shop Sales Dataset'!$C384</f>
        <v>P00010-Drone</v>
      </c>
      <c r="C384" s="11" t="s">
        <v>20</v>
      </c>
      <c r="D384" s="12">
        <v>1396.48</v>
      </c>
      <c r="E384" s="11">
        <v>1</v>
      </c>
      <c r="F384" s="11" t="s">
        <v>33</v>
      </c>
      <c r="G384" s="11" t="s">
        <v>609</v>
      </c>
      <c r="H384" s="11" t="s">
        <v>129</v>
      </c>
      <c r="I384" s="11">
        <v>42.165725999999999</v>
      </c>
      <c r="J384" s="11">
        <v>-74.948051000000007</v>
      </c>
      <c r="K384" s="11" t="s">
        <v>54</v>
      </c>
      <c r="L384" s="13">
        <v>45514</v>
      </c>
      <c r="M384" s="13">
        <f>DATEVALUE(TEXT(L384,"mm/dd/yy"))</f>
        <v>45514</v>
      </c>
      <c r="N384" s="12">
        <f>'Electronic Shop Sales Dataset'!$D384*'Electronic Shop Sales Dataset'!$E384</f>
        <v>1396.48</v>
      </c>
      <c r="O384" s="12" cm="1">
        <f t="array" ref="O384">_xlfn.IFS($K384="Website",$N384*0.05, $K384="Mobile App",$N384*0.05,TRUE,0)</f>
        <v>69.823999999999998</v>
      </c>
      <c r="P384" s="14" t="str">
        <f>IF(COUNTIF($G$2:G959,G384)&gt;1,"Returning","New")</f>
        <v>New</v>
      </c>
      <c r="Q384" s="24" t="str">
        <f t="shared" si="5"/>
        <v>August</v>
      </c>
      <c r="R384" t="str">
        <v>New Arrival</v>
      </c>
    </row>
    <row r="385" spans="1:18" x14ac:dyDescent="0.25">
      <c r="A385" s="15" t="s">
        <v>102</v>
      </c>
      <c r="B385" s="16" t="str">
        <f>'Electronic Shop Sales Dataset'!$A385&amp;"-"&amp;'Electronic Shop Sales Dataset'!$C385</f>
        <v>P00001-Charger</v>
      </c>
      <c r="C385" s="16" t="s">
        <v>32</v>
      </c>
      <c r="D385" s="17">
        <v>44.76</v>
      </c>
      <c r="E385" s="16">
        <v>1</v>
      </c>
      <c r="F385" s="16" t="s">
        <v>33</v>
      </c>
      <c r="G385" s="16" t="s">
        <v>610</v>
      </c>
      <c r="H385" s="16" t="s">
        <v>50</v>
      </c>
      <c r="I385" s="16">
        <v>47.400902000000002</v>
      </c>
      <c r="J385" s="16">
        <v>-121.490494</v>
      </c>
      <c r="K385" s="16" t="s">
        <v>54</v>
      </c>
      <c r="L385" s="18">
        <v>45514</v>
      </c>
      <c r="M385" s="13">
        <f>DATEVALUE(TEXT(L385,"mm/dd/yy"))</f>
        <v>45514</v>
      </c>
      <c r="N385" s="17">
        <f>'Electronic Shop Sales Dataset'!$D385*'Electronic Shop Sales Dataset'!$E385</f>
        <v>44.76</v>
      </c>
      <c r="O385" s="12" cm="1">
        <f t="array" ref="O385">_xlfn.IFS($K385="Website",$N385*0.05, $K385="Mobile App",$N385*0.05,TRUE,0)</f>
        <v>2.238</v>
      </c>
      <c r="P385" s="14" t="str">
        <f>IF(COUNTIF($G$2:G960,G385)&gt;1,"Returning","New")</f>
        <v>New</v>
      </c>
      <c r="Q385" s="24" t="str">
        <f t="shared" si="5"/>
        <v>August</v>
      </c>
      <c r="R385" t="str">
        <v>New Arrival</v>
      </c>
    </row>
    <row r="386" spans="1:18" x14ac:dyDescent="0.25">
      <c r="A386" s="10" t="s">
        <v>24</v>
      </c>
      <c r="B386" s="11" t="str">
        <f>'Electronic Shop Sales Dataset'!$A386&amp;"-"&amp;'Electronic Shop Sales Dataset'!$C386</f>
        <v>P00013-Graphics Card</v>
      </c>
      <c r="C386" s="11" t="s">
        <v>125</v>
      </c>
      <c r="D386" s="12">
        <v>966.18</v>
      </c>
      <c r="E386" s="11">
        <v>5</v>
      </c>
      <c r="F386" s="11" t="s">
        <v>33</v>
      </c>
      <c r="G386" s="11" t="s">
        <v>611</v>
      </c>
      <c r="H386" s="11" t="s">
        <v>80</v>
      </c>
      <c r="I386" s="11">
        <v>39.318522999999999</v>
      </c>
      <c r="J386" s="11">
        <v>-75.507141000000004</v>
      </c>
      <c r="K386" s="11" t="s">
        <v>15</v>
      </c>
      <c r="L386" s="13">
        <v>45515</v>
      </c>
      <c r="M386" s="13">
        <f>DATEVALUE(TEXT(L386,"mm/dd/yy"))</f>
        <v>45515</v>
      </c>
      <c r="N386" s="12">
        <f>'Electronic Shop Sales Dataset'!$D386*'Electronic Shop Sales Dataset'!$E386</f>
        <v>4830.8999999999996</v>
      </c>
      <c r="O386" s="12" cm="1">
        <f t="array" ref="O386">_xlfn.IFS($K386="Website",$N386*0.05, $K386="Mobile App",$N386*0.05,TRUE,0)</f>
        <v>0</v>
      </c>
      <c r="P386" s="14" t="str">
        <f>IF(COUNTIF($G$2:G961,G386)&gt;1,"Returning","New")</f>
        <v>New</v>
      </c>
      <c r="Q386" s="24" t="str">
        <f t="shared" si="5"/>
        <v>August</v>
      </c>
      <c r="R386" t="str">
        <v>New Arrival</v>
      </c>
    </row>
    <row r="387" spans="1:18" x14ac:dyDescent="0.25">
      <c r="A387" s="15" t="s">
        <v>60</v>
      </c>
      <c r="B387" s="16" t="str">
        <f>'Electronic Shop Sales Dataset'!$A387&amp;"-"&amp;'Electronic Shop Sales Dataset'!$C387</f>
        <v>P00015-Speaker</v>
      </c>
      <c r="C387" s="16" t="s">
        <v>106</v>
      </c>
      <c r="D387" s="17">
        <v>187.1</v>
      </c>
      <c r="E387" s="16">
        <v>5</v>
      </c>
      <c r="F387" s="16" t="s">
        <v>33</v>
      </c>
      <c r="G387" s="16" t="s">
        <v>612</v>
      </c>
      <c r="H387" s="16" t="s">
        <v>116</v>
      </c>
      <c r="I387" s="16">
        <v>43.452491999999999</v>
      </c>
      <c r="J387" s="16">
        <v>-71.563896</v>
      </c>
      <c r="K387" s="16" t="s">
        <v>54</v>
      </c>
      <c r="L387" s="18">
        <v>45516</v>
      </c>
      <c r="M387" s="13">
        <f>DATEVALUE(TEXT(L387,"mm/dd/yy"))</f>
        <v>45516</v>
      </c>
      <c r="N387" s="17">
        <f>'Electronic Shop Sales Dataset'!$D387*'Electronic Shop Sales Dataset'!$E387</f>
        <v>935.5</v>
      </c>
      <c r="O387" s="12" cm="1">
        <f t="array" ref="O387">_xlfn.IFS($K387="Website",$N387*0.05, $K387="Mobile App",$N387*0.05,TRUE,0)</f>
        <v>46.775000000000006</v>
      </c>
      <c r="P387" s="14" t="str">
        <f>IF(COUNTIF($G$2:G962,G387)&gt;1,"Returning","New")</f>
        <v>New</v>
      </c>
      <c r="Q387" s="24" t="str">
        <f t="shared" ref="Q387:Q450" si="6">TEXT(M387,"mmmm")</f>
        <v>August</v>
      </c>
      <c r="R387" t="str">
        <v>New Arrival</v>
      </c>
    </row>
    <row r="388" spans="1:18" x14ac:dyDescent="0.25">
      <c r="A388" s="10" t="s">
        <v>51</v>
      </c>
      <c r="B388" s="11" t="str">
        <f>'Electronic Shop Sales Dataset'!$A388&amp;"-"&amp;'Electronic Shop Sales Dataset'!$C388</f>
        <v>P00017-Keyboard</v>
      </c>
      <c r="C388" s="11" t="s">
        <v>29</v>
      </c>
      <c r="D388" s="12">
        <v>25.63</v>
      </c>
      <c r="E388" s="11">
        <v>4</v>
      </c>
      <c r="F388" s="11" t="s">
        <v>33</v>
      </c>
      <c r="G388" s="11" t="s">
        <v>613</v>
      </c>
      <c r="H388" s="11" t="s">
        <v>116</v>
      </c>
      <c r="I388" s="11">
        <v>43.452491999999999</v>
      </c>
      <c r="J388" s="11">
        <v>-71.563896</v>
      </c>
      <c r="K388" s="11" t="s">
        <v>54</v>
      </c>
      <c r="L388" s="13">
        <v>45517</v>
      </c>
      <c r="M388" s="13">
        <f>DATEVALUE(TEXT(L388,"mm/dd/yy"))</f>
        <v>45517</v>
      </c>
      <c r="N388" s="12">
        <f>'Electronic Shop Sales Dataset'!$D388*'Electronic Shop Sales Dataset'!$E388</f>
        <v>102.52</v>
      </c>
      <c r="O388" s="12" cm="1">
        <f t="array" ref="O388">_xlfn.IFS($K388="Website",$N388*0.05, $K388="Mobile App",$N388*0.05,TRUE,0)</f>
        <v>5.1260000000000003</v>
      </c>
      <c r="P388" s="14" t="str">
        <f>IF(COUNTIF($G$2:G963,G388)&gt;1,"Returning","New")</f>
        <v>New</v>
      </c>
      <c r="Q388" s="24" t="str">
        <f t="shared" si="6"/>
        <v>August</v>
      </c>
      <c r="R388" t="str">
        <v>New Arrival</v>
      </c>
    </row>
    <row r="389" spans="1:18" x14ac:dyDescent="0.25">
      <c r="A389" s="15" t="s">
        <v>90</v>
      </c>
      <c r="B389" s="16" t="str">
        <f>'Electronic Shop Sales Dataset'!$A389&amp;"-"&amp;'Electronic Shop Sales Dataset'!$C389</f>
        <v>P00014-Power Bank</v>
      </c>
      <c r="C389" s="16" t="s">
        <v>124</v>
      </c>
      <c r="D389" s="17">
        <v>81.16</v>
      </c>
      <c r="E389" s="16">
        <v>5</v>
      </c>
      <c r="F389" s="16" t="s">
        <v>43</v>
      </c>
      <c r="G389" s="16" t="s">
        <v>614</v>
      </c>
      <c r="H389" s="16" t="s">
        <v>91</v>
      </c>
      <c r="I389" s="16">
        <v>38.313515000000002</v>
      </c>
      <c r="J389" s="16">
        <v>-117.055374</v>
      </c>
      <c r="K389" s="16" t="s">
        <v>54</v>
      </c>
      <c r="L389" s="18">
        <v>45517</v>
      </c>
      <c r="M389" s="13">
        <f>DATEVALUE(TEXT(L389,"mm/dd/yy"))</f>
        <v>45517</v>
      </c>
      <c r="N389" s="17">
        <f>'Electronic Shop Sales Dataset'!$D389*'Electronic Shop Sales Dataset'!$E389</f>
        <v>405.79999999999995</v>
      </c>
      <c r="O389" s="12" cm="1">
        <f t="array" ref="O389">_xlfn.IFS($K389="Website",$N389*0.05, $K389="Mobile App",$N389*0.05,TRUE,0)</f>
        <v>20.29</v>
      </c>
      <c r="P389" s="14" t="str">
        <f>IF(COUNTIF($G$2:G964,G389)&gt;1,"Returning","New")</f>
        <v>New</v>
      </c>
      <c r="Q389" s="24" t="str">
        <f t="shared" si="6"/>
        <v>August</v>
      </c>
      <c r="R389" t="str">
        <v>New Arrival</v>
      </c>
    </row>
    <row r="390" spans="1:18" x14ac:dyDescent="0.25">
      <c r="A390" s="10" t="s">
        <v>79</v>
      </c>
      <c r="B390" s="11" t="str">
        <f>'Electronic Shop Sales Dataset'!$A390&amp;"-"&amp;'Electronic Shop Sales Dataset'!$C390</f>
        <v>P00012-Keyboard</v>
      </c>
      <c r="C390" s="11" t="s">
        <v>29</v>
      </c>
      <c r="D390" s="12">
        <v>141.04</v>
      </c>
      <c r="E390" s="11">
        <v>2</v>
      </c>
      <c r="F390" s="11" t="s">
        <v>43</v>
      </c>
      <c r="G390" s="11" t="s">
        <v>615</v>
      </c>
      <c r="H390" s="11" t="s">
        <v>67</v>
      </c>
      <c r="I390" s="11">
        <v>46.921925000000002</v>
      </c>
      <c r="J390" s="11">
        <v>-110.454353</v>
      </c>
      <c r="K390" s="11" t="s">
        <v>23</v>
      </c>
      <c r="L390" s="13">
        <v>45518</v>
      </c>
      <c r="M390" s="13">
        <f>DATEVALUE(TEXT(L390,"mm/dd/yy"))</f>
        <v>45518</v>
      </c>
      <c r="N390" s="12">
        <f>'Electronic Shop Sales Dataset'!$D390*'Electronic Shop Sales Dataset'!$E390</f>
        <v>282.08</v>
      </c>
      <c r="O390" s="12" cm="1">
        <f t="array" ref="O390">_xlfn.IFS($K390="Website",$N390*0.05, $K390="Mobile App",$N390*0.05,TRUE,0)</f>
        <v>0</v>
      </c>
      <c r="P390" s="14" t="str">
        <f>IF(COUNTIF($G$2:G965,G390)&gt;1,"Returning","New")</f>
        <v>New</v>
      </c>
      <c r="Q390" s="24" t="str">
        <f t="shared" si="6"/>
        <v>August</v>
      </c>
      <c r="R390" t="str">
        <v>New Arrival</v>
      </c>
    </row>
    <row r="391" spans="1:18" x14ac:dyDescent="0.25">
      <c r="A391" s="15" t="s">
        <v>61</v>
      </c>
      <c r="B391" s="16" t="str">
        <f>'Electronic Shop Sales Dataset'!$A391&amp;"-"&amp;'Electronic Shop Sales Dataset'!$C391</f>
        <v>P00002-Gaming Console</v>
      </c>
      <c r="C391" s="16" t="s">
        <v>17</v>
      </c>
      <c r="D391" s="17">
        <v>496.82</v>
      </c>
      <c r="E391" s="16">
        <v>2</v>
      </c>
      <c r="F391" s="16" t="s">
        <v>43</v>
      </c>
      <c r="G391" s="16" t="s">
        <v>257</v>
      </c>
      <c r="H391" s="16" t="s">
        <v>75</v>
      </c>
      <c r="I391" s="16">
        <v>39.059811000000003</v>
      </c>
      <c r="J391" s="16">
        <v>-105.311104</v>
      </c>
      <c r="K391" s="16" t="s">
        <v>54</v>
      </c>
      <c r="L391" s="18">
        <v>45518</v>
      </c>
      <c r="M391" s="13">
        <f>DATEVALUE(TEXT(L391,"mm/dd/yy"))</f>
        <v>45518</v>
      </c>
      <c r="N391" s="17">
        <f>'Electronic Shop Sales Dataset'!$D391*'Electronic Shop Sales Dataset'!$E391</f>
        <v>993.64</v>
      </c>
      <c r="O391" s="12" cm="1">
        <f t="array" ref="O391">_xlfn.IFS($K391="Website",$N391*0.05, $K391="Mobile App",$N391*0.05,TRUE,0)</f>
        <v>49.682000000000002</v>
      </c>
      <c r="P391" s="14" t="str">
        <f>IF(COUNTIF($G$2:G966,G391)&gt;1,"Returning","New")</f>
        <v>New</v>
      </c>
      <c r="Q391" s="24" t="str">
        <f t="shared" si="6"/>
        <v>August</v>
      </c>
      <c r="R391" t="str">
        <v>New Arrival</v>
      </c>
    </row>
    <row r="392" spans="1:18" x14ac:dyDescent="0.25">
      <c r="A392" s="10" t="s">
        <v>69</v>
      </c>
      <c r="B392" s="11" t="str">
        <f>'Electronic Shop Sales Dataset'!$A392&amp;"-"&amp;'Electronic Shop Sales Dataset'!$C392</f>
        <v>P00005-Hard Disk</v>
      </c>
      <c r="C392" s="11" t="s">
        <v>97</v>
      </c>
      <c r="D392" s="12">
        <v>119.77</v>
      </c>
      <c r="E392" s="11">
        <v>5</v>
      </c>
      <c r="F392" s="11" t="s">
        <v>43</v>
      </c>
      <c r="G392" s="11" t="s">
        <v>616</v>
      </c>
      <c r="H392" s="11" t="s">
        <v>75</v>
      </c>
      <c r="I392" s="11">
        <v>39.059811000000003</v>
      </c>
      <c r="J392" s="11">
        <v>-105.311104</v>
      </c>
      <c r="K392" s="11" t="s">
        <v>15</v>
      </c>
      <c r="L392" s="13">
        <v>45519</v>
      </c>
      <c r="M392" s="13">
        <f>DATEVALUE(TEXT(L392,"mm/dd/yy"))</f>
        <v>45519</v>
      </c>
      <c r="N392" s="12">
        <f>'Electronic Shop Sales Dataset'!$D392*'Electronic Shop Sales Dataset'!$E392</f>
        <v>598.85</v>
      </c>
      <c r="O392" s="12" cm="1">
        <f t="array" ref="O392">_xlfn.IFS($K392="Website",$N392*0.05, $K392="Mobile App",$N392*0.05,TRUE,0)</f>
        <v>0</v>
      </c>
      <c r="P392" s="14" t="str">
        <f>IF(COUNTIF($G$2:G967,G392)&gt;1,"Returning","New")</f>
        <v>New</v>
      </c>
      <c r="Q392" s="24" t="str">
        <f t="shared" si="6"/>
        <v>August</v>
      </c>
      <c r="R392" t="str">
        <v>New Arrival</v>
      </c>
    </row>
    <row r="393" spans="1:18" x14ac:dyDescent="0.25">
      <c r="A393" s="15" t="s">
        <v>90</v>
      </c>
      <c r="B393" s="16" t="str">
        <f>'Electronic Shop Sales Dataset'!$A393&amp;"-"&amp;'Electronic Shop Sales Dataset'!$C393</f>
        <v>P00014-Mouse</v>
      </c>
      <c r="C393" s="16" t="s">
        <v>95</v>
      </c>
      <c r="D393" s="17">
        <v>63.59</v>
      </c>
      <c r="E393" s="16">
        <v>5</v>
      </c>
      <c r="F393" s="16" t="s">
        <v>33</v>
      </c>
      <c r="G393" s="16" t="s">
        <v>617</v>
      </c>
      <c r="H393" s="16" t="s">
        <v>96</v>
      </c>
      <c r="I393" s="16">
        <v>42.011538999999999</v>
      </c>
      <c r="J393" s="16">
        <v>-93.210526000000002</v>
      </c>
      <c r="K393" s="16" t="s">
        <v>23</v>
      </c>
      <c r="L393" s="18">
        <v>45519</v>
      </c>
      <c r="M393" s="13">
        <f>DATEVALUE(TEXT(L393,"mm/dd/yy"))</f>
        <v>45519</v>
      </c>
      <c r="N393" s="17">
        <f>'Electronic Shop Sales Dataset'!$D393*'Electronic Shop Sales Dataset'!$E393</f>
        <v>317.95000000000005</v>
      </c>
      <c r="O393" s="12" cm="1">
        <f t="array" ref="O393">_xlfn.IFS($K393="Website",$N393*0.05, $K393="Mobile App",$N393*0.05,TRUE,0)</f>
        <v>0</v>
      </c>
      <c r="P393" s="14" t="str">
        <f>IF(COUNTIF($G$2:G968,G393)&gt;1,"Returning","New")</f>
        <v>New</v>
      </c>
      <c r="Q393" s="24" t="str">
        <f t="shared" si="6"/>
        <v>August</v>
      </c>
      <c r="R393" t="str">
        <v>New Arrival</v>
      </c>
    </row>
    <row r="394" spans="1:18" x14ac:dyDescent="0.25">
      <c r="A394" s="10" t="s">
        <v>31</v>
      </c>
      <c r="B394" s="11" t="str">
        <f>'Electronic Shop Sales Dataset'!$A394&amp;"-"&amp;'Electronic Shop Sales Dataset'!$C394</f>
        <v>P00022-Camera</v>
      </c>
      <c r="C394" s="11" t="s">
        <v>46</v>
      </c>
      <c r="D394" s="12">
        <v>841.13</v>
      </c>
      <c r="E394" s="11">
        <v>3</v>
      </c>
      <c r="F394" s="11" t="s">
        <v>43</v>
      </c>
      <c r="G394" s="11" t="s">
        <v>225</v>
      </c>
      <c r="H394" s="11" t="s">
        <v>122</v>
      </c>
      <c r="I394" s="11">
        <v>42.755966000000001</v>
      </c>
      <c r="J394" s="11">
        <v>-107.30249000000001</v>
      </c>
      <c r="K394" s="11" t="s">
        <v>54</v>
      </c>
      <c r="L394" s="13">
        <v>45520</v>
      </c>
      <c r="M394" s="13">
        <f>DATEVALUE(TEXT(L394,"mm/dd/yy"))</f>
        <v>45520</v>
      </c>
      <c r="N394" s="12">
        <f>'Electronic Shop Sales Dataset'!$D394*'Electronic Shop Sales Dataset'!$E394</f>
        <v>2523.39</v>
      </c>
      <c r="O394" s="12" cm="1">
        <f t="array" ref="O394">_xlfn.IFS($K394="Website",$N394*0.05, $K394="Mobile App",$N394*0.05,TRUE,0)</f>
        <v>126.1695</v>
      </c>
      <c r="P394" s="14" t="str">
        <f>IF(COUNTIF($G$2:G969,G394)&gt;1,"Returning","New")</f>
        <v>New</v>
      </c>
      <c r="Q394" s="24" t="str">
        <f t="shared" si="6"/>
        <v>August</v>
      </c>
      <c r="R394" t="str">
        <v>New Arrival</v>
      </c>
    </row>
    <row r="395" spans="1:18" x14ac:dyDescent="0.25">
      <c r="A395" s="15" t="s">
        <v>58</v>
      </c>
      <c r="B395" s="16" t="str">
        <f>'Electronic Shop Sales Dataset'!$A395&amp;"-"&amp;'Electronic Shop Sales Dataset'!$C395</f>
        <v>P00009-Headphones</v>
      </c>
      <c r="C395" s="16" t="s">
        <v>55</v>
      </c>
      <c r="D395" s="17">
        <v>119.06</v>
      </c>
      <c r="E395" s="16">
        <v>3</v>
      </c>
      <c r="F395" s="16" t="s">
        <v>21</v>
      </c>
      <c r="G395" s="16" t="s">
        <v>618</v>
      </c>
      <c r="H395" s="16" t="s">
        <v>75</v>
      </c>
      <c r="I395" s="16">
        <v>39.059811000000003</v>
      </c>
      <c r="J395" s="16">
        <v>-105.311104</v>
      </c>
      <c r="K395" s="16" t="s">
        <v>27</v>
      </c>
      <c r="L395" s="18">
        <v>45520</v>
      </c>
      <c r="M395" s="13">
        <f>DATEVALUE(TEXT(L395,"mm/dd/yy"))</f>
        <v>45520</v>
      </c>
      <c r="N395" s="17">
        <f>'Electronic Shop Sales Dataset'!$D395*'Electronic Shop Sales Dataset'!$E395</f>
        <v>357.18</v>
      </c>
      <c r="O395" s="12" cm="1">
        <f t="array" ref="O395">_xlfn.IFS($K395="Website",$N395*0.05, $K395="Mobile App",$N395*0.05,TRUE,0)</f>
        <v>0</v>
      </c>
      <c r="P395" s="14" t="str">
        <f>IF(COUNTIF($G$2:G970,G395)&gt;1,"Returning","New")</f>
        <v>New</v>
      </c>
      <c r="Q395" s="24" t="str">
        <f t="shared" si="6"/>
        <v>August</v>
      </c>
      <c r="R395" t="str">
        <v>New Arrival</v>
      </c>
    </row>
    <row r="396" spans="1:18" x14ac:dyDescent="0.25">
      <c r="A396" s="10" t="s">
        <v>11</v>
      </c>
      <c r="B396" s="11" t="str">
        <f>'Electronic Shop Sales Dataset'!$A396&amp;"-"&amp;'Electronic Shop Sales Dataset'!$C396</f>
        <v>P00019-Monitor</v>
      </c>
      <c r="C396" s="11" t="s">
        <v>25</v>
      </c>
      <c r="D396" s="12">
        <v>664.28</v>
      </c>
      <c r="E396" s="11">
        <v>1</v>
      </c>
      <c r="F396" s="11" t="s">
        <v>13</v>
      </c>
      <c r="G396" s="11" t="s">
        <v>619</v>
      </c>
      <c r="H396" s="11" t="s">
        <v>91</v>
      </c>
      <c r="I396" s="11">
        <v>38.313515000000002</v>
      </c>
      <c r="J396" s="11">
        <v>-117.055374</v>
      </c>
      <c r="K396" s="11" t="s">
        <v>23</v>
      </c>
      <c r="L396" s="13">
        <v>45521</v>
      </c>
      <c r="M396" s="13">
        <f>DATEVALUE(TEXT(L396,"mm/dd/yy"))</f>
        <v>45521</v>
      </c>
      <c r="N396" s="12">
        <f>'Electronic Shop Sales Dataset'!$D396*'Electronic Shop Sales Dataset'!$E396</f>
        <v>664.28</v>
      </c>
      <c r="O396" s="12" cm="1">
        <f t="array" ref="O396">_xlfn.IFS($K396="Website",$N396*0.05, $K396="Mobile App",$N396*0.05,TRUE,0)</f>
        <v>0</v>
      </c>
      <c r="P396" s="14" t="str">
        <f>IF(COUNTIF($G$2:G971,G396)&gt;1,"Returning","New")</f>
        <v>New</v>
      </c>
      <c r="Q396" s="24" t="str">
        <f t="shared" si="6"/>
        <v>August</v>
      </c>
      <c r="R396" t="str">
        <v>New Arrival</v>
      </c>
    </row>
    <row r="397" spans="1:18" x14ac:dyDescent="0.25">
      <c r="A397" s="15" t="s">
        <v>88</v>
      </c>
      <c r="B397" s="16" t="str">
        <f>'Electronic Shop Sales Dataset'!$A397&amp;"-"&amp;'Electronic Shop Sales Dataset'!$C397</f>
        <v>P00018-Smartwatch</v>
      </c>
      <c r="C397" s="16" t="s">
        <v>62</v>
      </c>
      <c r="D397" s="17">
        <v>315.77999999999997</v>
      </c>
      <c r="E397" s="16">
        <v>2</v>
      </c>
      <c r="F397" s="16" t="s">
        <v>21</v>
      </c>
      <c r="G397" s="16" t="s">
        <v>261</v>
      </c>
      <c r="H397" s="16" t="s">
        <v>45</v>
      </c>
      <c r="I397" s="16">
        <v>36.116202999999999</v>
      </c>
      <c r="J397" s="16">
        <v>-119.68156399999999</v>
      </c>
      <c r="K397" s="16" t="s">
        <v>15</v>
      </c>
      <c r="L397" s="18">
        <v>45521</v>
      </c>
      <c r="M397" s="13">
        <f>DATEVALUE(TEXT(L397,"mm/dd/yy"))</f>
        <v>45521</v>
      </c>
      <c r="N397" s="17">
        <f>'Electronic Shop Sales Dataset'!$D397*'Electronic Shop Sales Dataset'!$E397</f>
        <v>631.55999999999995</v>
      </c>
      <c r="O397" s="12" cm="1">
        <f t="array" ref="O397">_xlfn.IFS($K397="Website",$N397*0.05, $K397="Mobile App",$N397*0.05,TRUE,0)</f>
        <v>0</v>
      </c>
      <c r="P397" s="14" t="str">
        <f>IF(COUNTIF($G$2:G972,G397)&gt;1,"Returning","New")</f>
        <v>New</v>
      </c>
      <c r="Q397" s="24" t="str">
        <f t="shared" si="6"/>
        <v>August</v>
      </c>
      <c r="R397" t="str">
        <v>New Arrival</v>
      </c>
    </row>
    <row r="398" spans="1:18" x14ac:dyDescent="0.25">
      <c r="A398" s="10" t="s">
        <v>11</v>
      </c>
      <c r="B398" s="11" t="str">
        <f>'Electronic Shop Sales Dataset'!$A398&amp;"-"&amp;'Electronic Shop Sales Dataset'!$C398</f>
        <v>P00019-Gaming Console</v>
      </c>
      <c r="C398" s="11" t="s">
        <v>17</v>
      </c>
      <c r="D398" s="12">
        <v>487.28</v>
      </c>
      <c r="E398" s="11">
        <v>4</v>
      </c>
      <c r="F398" s="11" t="s">
        <v>43</v>
      </c>
      <c r="G398" s="11" t="s">
        <v>620</v>
      </c>
      <c r="H398" s="11" t="s">
        <v>78</v>
      </c>
      <c r="I398" s="11">
        <v>31.054487000000002</v>
      </c>
      <c r="J398" s="11">
        <v>-97.563461000000004</v>
      </c>
      <c r="K398" s="11" t="s">
        <v>23</v>
      </c>
      <c r="L398" s="13">
        <v>45522</v>
      </c>
      <c r="M398" s="13">
        <f>DATEVALUE(TEXT(L398,"mm/dd/yy"))</f>
        <v>45522</v>
      </c>
      <c r="N398" s="12">
        <f>'Electronic Shop Sales Dataset'!$D398*'Electronic Shop Sales Dataset'!$E398</f>
        <v>1949.12</v>
      </c>
      <c r="O398" s="12" cm="1">
        <f t="array" ref="O398">_xlfn.IFS($K398="Website",$N398*0.05, $K398="Mobile App",$N398*0.05,TRUE,0)</f>
        <v>0</v>
      </c>
      <c r="P398" s="14" t="str">
        <f>IF(COUNTIF($G$2:G973,G398)&gt;1,"Returning","New")</f>
        <v>New</v>
      </c>
      <c r="Q398" s="24" t="str">
        <f t="shared" si="6"/>
        <v>August</v>
      </c>
      <c r="R398" t="str">
        <v>New Arrival</v>
      </c>
    </row>
    <row r="399" spans="1:18" x14ac:dyDescent="0.25">
      <c r="A399" s="15" t="s">
        <v>92</v>
      </c>
      <c r="B399" s="16" t="str">
        <f>'Electronic Shop Sales Dataset'!$A399&amp;"-"&amp;'Electronic Shop Sales Dataset'!$C399</f>
        <v>P00004-Keyboard</v>
      </c>
      <c r="C399" s="16" t="s">
        <v>29</v>
      </c>
      <c r="D399" s="17">
        <v>138.38999999999999</v>
      </c>
      <c r="E399" s="16">
        <v>2</v>
      </c>
      <c r="F399" s="16" t="s">
        <v>13</v>
      </c>
      <c r="G399" s="16" t="s">
        <v>621</v>
      </c>
      <c r="H399" s="16" t="s">
        <v>22</v>
      </c>
      <c r="I399" s="16">
        <v>32.741646000000003</v>
      </c>
      <c r="J399" s="16">
        <v>-89.678696000000002</v>
      </c>
      <c r="K399" s="16" t="s">
        <v>15</v>
      </c>
      <c r="L399" s="18">
        <v>45524</v>
      </c>
      <c r="M399" s="13">
        <f>DATEVALUE(TEXT(L399,"mm/dd/yy"))</f>
        <v>45524</v>
      </c>
      <c r="N399" s="17">
        <f>'Electronic Shop Sales Dataset'!$D399*'Electronic Shop Sales Dataset'!$E399</f>
        <v>276.77999999999997</v>
      </c>
      <c r="O399" s="12" cm="1">
        <f t="array" ref="O399">_xlfn.IFS($K399="Website",$N399*0.05, $K399="Mobile App",$N399*0.05,TRUE,0)</f>
        <v>0</v>
      </c>
      <c r="P399" s="14" t="str">
        <f>IF(COUNTIF($G$2:G974,G399)&gt;1,"Returning","New")</f>
        <v>New</v>
      </c>
      <c r="Q399" s="24" t="str">
        <f t="shared" si="6"/>
        <v>August</v>
      </c>
      <c r="R399" t="str">
        <v>New Arrival</v>
      </c>
    </row>
    <row r="400" spans="1:18" x14ac:dyDescent="0.25">
      <c r="A400" s="10" t="s">
        <v>61</v>
      </c>
      <c r="B400" s="11" t="str">
        <f>'Electronic Shop Sales Dataset'!$A400&amp;"-"&amp;'Electronic Shop Sales Dataset'!$C400</f>
        <v>P00002-Drone</v>
      </c>
      <c r="C400" s="11" t="s">
        <v>20</v>
      </c>
      <c r="D400" s="12">
        <v>2427.33</v>
      </c>
      <c r="E400" s="11">
        <v>2</v>
      </c>
      <c r="F400" s="11" t="s">
        <v>21</v>
      </c>
      <c r="G400" s="11" t="s">
        <v>622</v>
      </c>
      <c r="H400" s="11" t="s">
        <v>122</v>
      </c>
      <c r="I400" s="11">
        <v>42.755966000000001</v>
      </c>
      <c r="J400" s="11">
        <v>-107.30249000000001</v>
      </c>
      <c r="K400" s="11" t="s">
        <v>23</v>
      </c>
      <c r="L400" s="13">
        <v>45524</v>
      </c>
      <c r="M400" s="13">
        <f>DATEVALUE(TEXT(L400,"mm/dd/yy"))</f>
        <v>45524</v>
      </c>
      <c r="N400" s="12">
        <f>'Electronic Shop Sales Dataset'!$D400*'Electronic Shop Sales Dataset'!$E400</f>
        <v>4854.66</v>
      </c>
      <c r="O400" s="12" cm="1">
        <f t="array" ref="O400">_xlfn.IFS($K400="Website",$N400*0.05, $K400="Mobile App",$N400*0.05,TRUE,0)</f>
        <v>0</v>
      </c>
      <c r="P400" s="14" t="str">
        <f>IF(COUNTIF($G$2:G975,G400)&gt;1,"Returning","New")</f>
        <v>New</v>
      </c>
      <c r="Q400" s="24" t="str">
        <f t="shared" si="6"/>
        <v>August</v>
      </c>
      <c r="R400" t="str">
        <v>New Arrival</v>
      </c>
    </row>
    <row r="401" spans="1:18" x14ac:dyDescent="0.25">
      <c r="A401" s="15" t="s">
        <v>41</v>
      </c>
      <c r="B401" s="16" t="str">
        <f>'Electronic Shop Sales Dataset'!$A401&amp;"-"&amp;'Electronic Shop Sales Dataset'!$C401</f>
        <v>P00024-Power Bank</v>
      </c>
      <c r="C401" s="16" t="s">
        <v>124</v>
      </c>
      <c r="D401" s="17">
        <v>47.09</v>
      </c>
      <c r="E401" s="16">
        <v>3</v>
      </c>
      <c r="F401" s="16" t="s">
        <v>43</v>
      </c>
      <c r="G401" s="16" t="s">
        <v>256</v>
      </c>
      <c r="H401" s="16" t="s">
        <v>57</v>
      </c>
      <c r="I401" s="16">
        <v>40.150032000000003</v>
      </c>
      <c r="J401" s="16">
        <v>-111.86243399999999</v>
      </c>
      <c r="K401" s="16" t="s">
        <v>48</v>
      </c>
      <c r="L401" s="18">
        <v>45525</v>
      </c>
      <c r="M401" s="13">
        <f>DATEVALUE(TEXT(L401,"mm/dd/yy"))</f>
        <v>45525</v>
      </c>
      <c r="N401" s="17">
        <f>'Electronic Shop Sales Dataset'!$D401*'Electronic Shop Sales Dataset'!$E401</f>
        <v>141.27000000000001</v>
      </c>
      <c r="O401" s="12" cm="1">
        <f t="array" ref="O401">_xlfn.IFS($K401="Website",$N401*0.05, $K401="Mobile App",$N401*0.05,TRUE,0)</f>
        <v>7.0635000000000012</v>
      </c>
      <c r="P401" s="14" t="str">
        <f>IF(COUNTIF($G$2:G976,G401)&gt;1,"Returning","New")</f>
        <v>New</v>
      </c>
      <c r="Q401" s="24" t="str">
        <f t="shared" si="6"/>
        <v>August</v>
      </c>
      <c r="R401" t="str">
        <v>New Arrival</v>
      </c>
    </row>
    <row r="402" spans="1:18" x14ac:dyDescent="0.25">
      <c r="A402" s="10" t="s">
        <v>11</v>
      </c>
      <c r="B402" s="11" t="str">
        <f>'Electronic Shop Sales Dataset'!$A402&amp;"-"&amp;'Electronic Shop Sales Dataset'!$C402</f>
        <v>P00019-Hard Disk</v>
      </c>
      <c r="C402" s="11" t="s">
        <v>97</v>
      </c>
      <c r="D402" s="12">
        <v>109.26</v>
      </c>
      <c r="E402" s="11">
        <v>5</v>
      </c>
      <c r="F402" s="11" t="s">
        <v>43</v>
      </c>
      <c r="G402" s="11" t="s">
        <v>623</v>
      </c>
      <c r="H402" s="11" t="s">
        <v>109</v>
      </c>
      <c r="I402" s="11">
        <v>44.299782</v>
      </c>
      <c r="J402" s="11">
        <v>-99.438828000000001</v>
      </c>
      <c r="K402" s="11" t="s">
        <v>54</v>
      </c>
      <c r="L402" s="13">
        <v>45525</v>
      </c>
      <c r="M402" s="13">
        <f>DATEVALUE(TEXT(L402,"mm/dd/yy"))</f>
        <v>45525</v>
      </c>
      <c r="N402" s="12">
        <f>'Electronic Shop Sales Dataset'!$D402*'Electronic Shop Sales Dataset'!$E402</f>
        <v>546.30000000000007</v>
      </c>
      <c r="O402" s="12" cm="1">
        <f t="array" ref="O402">_xlfn.IFS($K402="Website",$N402*0.05, $K402="Mobile App",$N402*0.05,TRUE,0)</f>
        <v>27.315000000000005</v>
      </c>
      <c r="P402" s="14" t="str">
        <f>IF(COUNTIF($G$2:G977,G402)&gt;1,"Returning","New")</f>
        <v>New</v>
      </c>
      <c r="Q402" s="24" t="str">
        <f t="shared" si="6"/>
        <v>August</v>
      </c>
      <c r="R402" t="str">
        <v>New Arrival</v>
      </c>
    </row>
    <row r="403" spans="1:18" x14ac:dyDescent="0.25">
      <c r="A403" s="15" t="s">
        <v>38</v>
      </c>
      <c r="B403" s="16" t="str">
        <f>'Electronic Shop Sales Dataset'!$A403&amp;"-"&amp;'Electronic Shop Sales Dataset'!$C403</f>
        <v>P00007-Smart TV</v>
      </c>
      <c r="C403" s="16" t="s">
        <v>74</v>
      </c>
      <c r="D403" s="17">
        <v>1886.93</v>
      </c>
      <c r="E403" s="16">
        <v>3</v>
      </c>
      <c r="F403" s="16" t="s">
        <v>13</v>
      </c>
      <c r="G403" s="16" t="s">
        <v>266</v>
      </c>
      <c r="H403" s="16" t="s">
        <v>70</v>
      </c>
      <c r="I403" s="16">
        <v>39.849426000000001</v>
      </c>
      <c r="J403" s="16">
        <v>-86.258278000000004</v>
      </c>
      <c r="K403" s="16" t="s">
        <v>54</v>
      </c>
      <c r="L403" s="18">
        <v>45528</v>
      </c>
      <c r="M403" s="13">
        <f>DATEVALUE(TEXT(L403,"mm/dd/yy"))</f>
        <v>45528</v>
      </c>
      <c r="N403" s="17">
        <f>'Electronic Shop Sales Dataset'!$D403*'Electronic Shop Sales Dataset'!$E403</f>
        <v>5660.79</v>
      </c>
      <c r="O403" s="12" cm="1">
        <f t="array" ref="O403">_xlfn.IFS($K403="Website",$N403*0.05, $K403="Mobile App",$N403*0.05,TRUE,0)</f>
        <v>283.03950000000003</v>
      </c>
      <c r="P403" s="14" t="str">
        <f>IF(COUNTIF($G$2:G978,G403)&gt;1,"Returning","New")</f>
        <v>New</v>
      </c>
      <c r="Q403" s="24" t="str">
        <f t="shared" si="6"/>
        <v>August</v>
      </c>
      <c r="R403" t="str">
        <v>New Arrival</v>
      </c>
    </row>
    <row r="404" spans="1:18" x14ac:dyDescent="0.25">
      <c r="A404" s="10" t="s">
        <v>69</v>
      </c>
      <c r="B404" s="11" t="str">
        <f>'Electronic Shop Sales Dataset'!$A404&amp;"-"&amp;'Electronic Shop Sales Dataset'!$C404</f>
        <v>P00005-Laptop</v>
      </c>
      <c r="C404" s="11" t="s">
        <v>89</v>
      </c>
      <c r="D404" s="12">
        <v>570.41</v>
      </c>
      <c r="E404" s="11">
        <v>1</v>
      </c>
      <c r="F404" s="11" t="s">
        <v>21</v>
      </c>
      <c r="G404" s="11" t="s">
        <v>624</v>
      </c>
      <c r="H404" s="11" t="s">
        <v>22</v>
      </c>
      <c r="I404" s="11">
        <v>32.741646000000003</v>
      </c>
      <c r="J404" s="11">
        <v>-89.678696000000002</v>
      </c>
      <c r="K404" s="11" t="s">
        <v>48</v>
      </c>
      <c r="L404" s="13">
        <v>45529</v>
      </c>
      <c r="M404" s="13">
        <f>DATEVALUE(TEXT(L404,"mm/dd/yy"))</f>
        <v>45529</v>
      </c>
      <c r="N404" s="12">
        <f>'Electronic Shop Sales Dataset'!$D404*'Electronic Shop Sales Dataset'!$E404</f>
        <v>570.41</v>
      </c>
      <c r="O404" s="12" cm="1">
        <f t="array" ref="O404">_xlfn.IFS($K404="Website",$N404*0.05, $K404="Mobile App",$N404*0.05,TRUE,0)</f>
        <v>28.520499999999998</v>
      </c>
      <c r="P404" s="14" t="str">
        <f>IF(COUNTIF($G$2:G979,G404)&gt;1,"Returning","New")</f>
        <v>New</v>
      </c>
      <c r="Q404" s="24" t="str">
        <f t="shared" si="6"/>
        <v>August</v>
      </c>
      <c r="R404" t="str">
        <v>Old Stock</v>
      </c>
    </row>
    <row r="405" spans="1:18" x14ac:dyDescent="0.25">
      <c r="A405" s="15" t="s">
        <v>79</v>
      </c>
      <c r="B405" s="16" t="str">
        <f>'Electronic Shop Sales Dataset'!$A405&amp;"-"&amp;'Electronic Shop Sales Dataset'!$C405</f>
        <v>P00012-Monitor</v>
      </c>
      <c r="C405" s="16" t="s">
        <v>25</v>
      </c>
      <c r="D405" s="17">
        <v>431.66</v>
      </c>
      <c r="E405" s="16">
        <v>4</v>
      </c>
      <c r="F405" s="16" t="s">
        <v>13</v>
      </c>
      <c r="G405" s="16" t="s">
        <v>625</v>
      </c>
      <c r="H405" s="16" t="s">
        <v>82</v>
      </c>
      <c r="I405" s="16">
        <v>44.268543000000001</v>
      </c>
      <c r="J405" s="16">
        <v>-89.616507999999996</v>
      </c>
      <c r="K405" s="16" t="s">
        <v>23</v>
      </c>
      <c r="L405" s="18">
        <v>45529</v>
      </c>
      <c r="M405" s="13">
        <f>DATEVALUE(TEXT(L405,"mm/dd/yy"))</f>
        <v>45529</v>
      </c>
      <c r="N405" s="17">
        <f>'Electronic Shop Sales Dataset'!$D405*'Electronic Shop Sales Dataset'!$E405</f>
        <v>1726.64</v>
      </c>
      <c r="O405" s="12" cm="1">
        <f t="array" ref="O405">_xlfn.IFS($K405="Website",$N405*0.05, $K405="Mobile App",$N405*0.05,TRUE,0)</f>
        <v>0</v>
      </c>
      <c r="P405" s="14" t="str">
        <f>IF(COUNTIF($G$2:G980,G405)&gt;1,"Returning","New")</f>
        <v>New</v>
      </c>
      <c r="Q405" s="24" t="str">
        <f t="shared" si="6"/>
        <v>August</v>
      </c>
      <c r="R405" t="str">
        <v>New Arrival</v>
      </c>
    </row>
    <row r="406" spans="1:18" x14ac:dyDescent="0.25">
      <c r="A406" s="10" t="s">
        <v>28</v>
      </c>
      <c r="B406" s="11" t="str">
        <f>'Electronic Shop Sales Dataset'!$A406&amp;"-"&amp;'Electronic Shop Sales Dataset'!$C406</f>
        <v>P00006-Graphics Card</v>
      </c>
      <c r="C406" s="11" t="s">
        <v>125</v>
      </c>
      <c r="D406" s="12">
        <v>564.99</v>
      </c>
      <c r="E406" s="11">
        <v>1</v>
      </c>
      <c r="F406" s="11" t="s">
        <v>13</v>
      </c>
      <c r="G406" s="11" t="s">
        <v>626</v>
      </c>
      <c r="H406" s="11" t="s">
        <v>82</v>
      </c>
      <c r="I406" s="11">
        <v>44.268543000000001</v>
      </c>
      <c r="J406" s="11">
        <v>-89.616507999999996</v>
      </c>
      <c r="K406" s="11" t="s">
        <v>27</v>
      </c>
      <c r="L406" s="13">
        <v>45529</v>
      </c>
      <c r="M406" s="13">
        <f>DATEVALUE(TEXT(L406,"mm/dd/yy"))</f>
        <v>45529</v>
      </c>
      <c r="N406" s="12">
        <f>'Electronic Shop Sales Dataset'!$D406*'Electronic Shop Sales Dataset'!$E406</f>
        <v>564.99</v>
      </c>
      <c r="O406" s="12" cm="1">
        <f t="array" ref="O406">_xlfn.IFS($K406="Website",$N406*0.05, $K406="Mobile App",$N406*0.05,TRUE,0)</f>
        <v>0</v>
      </c>
      <c r="P406" s="14" t="str">
        <f>IF(COUNTIF($G$2:G981,G406)&gt;1,"Returning","New")</f>
        <v>New</v>
      </c>
      <c r="Q406" s="24" t="str">
        <f t="shared" si="6"/>
        <v>August</v>
      </c>
      <c r="R406" t="str">
        <v>New Arrival</v>
      </c>
    </row>
    <row r="407" spans="1:18" x14ac:dyDescent="0.25">
      <c r="A407" s="15" t="s">
        <v>117</v>
      </c>
      <c r="B407" s="16" t="str">
        <f>'Electronic Shop Sales Dataset'!$A407&amp;"-"&amp;'Electronic Shop Sales Dataset'!$C407</f>
        <v>P00016-Router</v>
      </c>
      <c r="C407" s="16" t="s">
        <v>39</v>
      </c>
      <c r="D407" s="17">
        <v>90.84</v>
      </c>
      <c r="E407" s="16">
        <v>4</v>
      </c>
      <c r="F407" s="16" t="s">
        <v>21</v>
      </c>
      <c r="G407" s="16" t="s">
        <v>627</v>
      </c>
      <c r="H407" s="16" t="s">
        <v>104</v>
      </c>
      <c r="I407" s="16">
        <v>61.370716000000002</v>
      </c>
      <c r="J407" s="16">
        <v>-152.40441899999999</v>
      </c>
      <c r="K407" s="16" t="s">
        <v>54</v>
      </c>
      <c r="L407" s="18">
        <v>45530</v>
      </c>
      <c r="M407" s="13">
        <f>DATEVALUE(TEXT(L407,"mm/dd/yy"))</f>
        <v>45530</v>
      </c>
      <c r="N407" s="17">
        <f>'Electronic Shop Sales Dataset'!$D407*'Electronic Shop Sales Dataset'!$E407</f>
        <v>363.36</v>
      </c>
      <c r="O407" s="12" cm="1">
        <f t="array" ref="O407">_xlfn.IFS($K407="Website",$N407*0.05, $K407="Mobile App",$N407*0.05,TRUE,0)</f>
        <v>18.168000000000003</v>
      </c>
      <c r="P407" s="14" t="str">
        <f>IF(COUNTIF($G$2:G982,G407)&gt;1,"Returning","New")</f>
        <v>New</v>
      </c>
      <c r="Q407" s="24" t="str">
        <f t="shared" si="6"/>
        <v>August</v>
      </c>
      <c r="R407" t="str">
        <v>New Arrival</v>
      </c>
    </row>
    <row r="408" spans="1:18" x14ac:dyDescent="0.25">
      <c r="A408" s="10" t="s">
        <v>69</v>
      </c>
      <c r="B408" s="11" t="str">
        <f>'Electronic Shop Sales Dataset'!$A408&amp;"-"&amp;'Electronic Shop Sales Dataset'!$C408</f>
        <v>P00005-Smartwatch</v>
      </c>
      <c r="C408" s="11" t="s">
        <v>62</v>
      </c>
      <c r="D408" s="12">
        <v>276</v>
      </c>
      <c r="E408" s="11">
        <v>1</v>
      </c>
      <c r="F408" s="11" t="s">
        <v>33</v>
      </c>
      <c r="G408" s="11" t="s">
        <v>628</v>
      </c>
      <c r="H408" s="11" t="s">
        <v>129</v>
      </c>
      <c r="I408" s="11">
        <v>42.165725999999999</v>
      </c>
      <c r="J408" s="11">
        <v>-74.948051000000007</v>
      </c>
      <c r="K408" s="11" t="s">
        <v>23</v>
      </c>
      <c r="L408" s="13">
        <v>45532</v>
      </c>
      <c r="M408" s="13">
        <f>DATEVALUE(TEXT(L408,"mm/dd/yy"))</f>
        <v>45532</v>
      </c>
      <c r="N408" s="12">
        <f>'Electronic Shop Sales Dataset'!$D408*'Electronic Shop Sales Dataset'!$E408</f>
        <v>276</v>
      </c>
      <c r="O408" s="12" cm="1">
        <f t="array" ref="O408">_xlfn.IFS($K408="Website",$N408*0.05, $K408="Mobile App",$N408*0.05,TRUE,0)</f>
        <v>0</v>
      </c>
      <c r="P408" s="14" t="str">
        <f>IF(COUNTIF($G$2:G983,G408)&gt;1,"Returning","New")</f>
        <v>New</v>
      </c>
      <c r="Q408" s="24" t="str">
        <f t="shared" si="6"/>
        <v>August</v>
      </c>
      <c r="R408" t="str">
        <v>New Arrival</v>
      </c>
    </row>
    <row r="409" spans="1:18" x14ac:dyDescent="0.25">
      <c r="A409" s="15" t="s">
        <v>31</v>
      </c>
      <c r="B409" s="16" t="str">
        <f>'Electronic Shop Sales Dataset'!$A409&amp;"-"&amp;'Electronic Shop Sales Dataset'!$C409</f>
        <v>P00022-Router</v>
      </c>
      <c r="C409" s="16" t="s">
        <v>39</v>
      </c>
      <c r="D409" s="17">
        <v>253.54</v>
      </c>
      <c r="E409" s="16">
        <v>1</v>
      </c>
      <c r="F409" s="16" t="s">
        <v>13</v>
      </c>
      <c r="G409" s="16" t="s">
        <v>629</v>
      </c>
      <c r="H409" s="16" t="s">
        <v>77</v>
      </c>
      <c r="I409" s="16">
        <v>44.693947000000001</v>
      </c>
      <c r="J409" s="16">
        <v>-69.381927000000005</v>
      </c>
      <c r="K409" s="16" t="s">
        <v>15</v>
      </c>
      <c r="L409" s="18">
        <v>45535</v>
      </c>
      <c r="M409" s="13">
        <f>DATEVALUE(TEXT(L409,"mm/dd/yy"))</f>
        <v>45535</v>
      </c>
      <c r="N409" s="17">
        <f>'Electronic Shop Sales Dataset'!$D409*'Electronic Shop Sales Dataset'!$E409</f>
        <v>253.54</v>
      </c>
      <c r="O409" s="12" cm="1">
        <f t="array" ref="O409">_xlfn.IFS($K409="Website",$N409*0.05, $K409="Mobile App",$N409*0.05,TRUE,0)</f>
        <v>0</v>
      </c>
      <c r="P409" s="14" t="str">
        <f>IF(COUNTIF($G$2:G984,G409)&gt;1,"Returning","New")</f>
        <v>New</v>
      </c>
      <c r="Q409" s="24" t="str">
        <f t="shared" si="6"/>
        <v>August</v>
      </c>
      <c r="R409" t="str">
        <v>New Arrival</v>
      </c>
    </row>
    <row r="410" spans="1:18" x14ac:dyDescent="0.25">
      <c r="A410" s="10" t="s">
        <v>86</v>
      </c>
      <c r="B410" s="11" t="str">
        <f>'Electronic Shop Sales Dataset'!$A410&amp;"-"&amp;'Electronic Shop Sales Dataset'!$C410</f>
        <v>P00021-Gaming Console</v>
      </c>
      <c r="C410" s="11" t="s">
        <v>17</v>
      </c>
      <c r="D410" s="12">
        <v>496.94</v>
      </c>
      <c r="E410" s="11">
        <v>5</v>
      </c>
      <c r="F410" s="11" t="s">
        <v>21</v>
      </c>
      <c r="G410" s="11" t="s">
        <v>630</v>
      </c>
      <c r="H410" s="11" t="s">
        <v>50</v>
      </c>
      <c r="I410" s="11">
        <v>47.400902000000002</v>
      </c>
      <c r="J410" s="11">
        <v>-121.490494</v>
      </c>
      <c r="K410" s="11" t="s">
        <v>15</v>
      </c>
      <c r="L410" s="13">
        <v>45537</v>
      </c>
      <c r="M410" s="13">
        <f>DATEVALUE(TEXT(L410,"mm/dd/yy"))</f>
        <v>45537</v>
      </c>
      <c r="N410" s="12">
        <f>'Electronic Shop Sales Dataset'!$D410*'Electronic Shop Sales Dataset'!$E410</f>
        <v>2484.6999999999998</v>
      </c>
      <c r="O410" s="12" cm="1">
        <f t="array" ref="O410">_xlfn.IFS($K410="Website",$N410*0.05, $K410="Mobile App",$N410*0.05,TRUE,0)</f>
        <v>0</v>
      </c>
      <c r="P410" s="14" t="str">
        <f>IF(COUNTIF($G$2:G985,G410)&gt;1,"Returning","New")</f>
        <v>New</v>
      </c>
      <c r="Q410" s="24" t="str">
        <f t="shared" si="6"/>
        <v>September</v>
      </c>
      <c r="R410" t="str">
        <v>New Arrival</v>
      </c>
    </row>
    <row r="411" spans="1:18" x14ac:dyDescent="0.25">
      <c r="A411" s="15" t="s">
        <v>117</v>
      </c>
      <c r="B411" s="16" t="str">
        <f>'Electronic Shop Sales Dataset'!$A411&amp;"-"&amp;'Electronic Shop Sales Dataset'!$C411</f>
        <v>P00016-Gaming Console</v>
      </c>
      <c r="C411" s="16" t="s">
        <v>17</v>
      </c>
      <c r="D411" s="17">
        <v>669.75</v>
      </c>
      <c r="E411" s="16">
        <v>3</v>
      </c>
      <c r="F411" s="16" t="s">
        <v>43</v>
      </c>
      <c r="G411" s="16" t="s">
        <v>631</v>
      </c>
      <c r="H411" s="16" t="s">
        <v>77</v>
      </c>
      <c r="I411" s="16">
        <v>44.693947000000001</v>
      </c>
      <c r="J411" s="16">
        <v>-69.381927000000005</v>
      </c>
      <c r="K411" s="16" t="s">
        <v>23</v>
      </c>
      <c r="L411" s="18">
        <v>45537</v>
      </c>
      <c r="M411" s="13">
        <f>DATEVALUE(TEXT(L411,"mm/dd/yy"))</f>
        <v>45537</v>
      </c>
      <c r="N411" s="17">
        <f>'Electronic Shop Sales Dataset'!$D411*'Electronic Shop Sales Dataset'!$E411</f>
        <v>2009.25</v>
      </c>
      <c r="O411" s="12" cm="1">
        <f t="array" ref="O411">_xlfn.IFS($K411="Website",$N411*0.05, $K411="Mobile App",$N411*0.05,TRUE,0)</f>
        <v>0</v>
      </c>
      <c r="P411" s="14" t="str">
        <f>IF(COUNTIF($G$2:G986,G411)&gt;1,"Returning","New")</f>
        <v>New</v>
      </c>
      <c r="Q411" s="24" t="str">
        <f t="shared" si="6"/>
        <v>September</v>
      </c>
      <c r="R411" t="str">
        <v>New Arrival</v>
      </c>
    </row>
    <row r="412" spans="1:18" x14ac:dyDescent="0.25">
      <c r="A412" s="10" t="s">
        <v>35</v>
      </c>
      <c r="B412" s="11" t="str">
        <f>'Electronic Shop Sales Dataset'!$A412&amp;"-"&amp;'Electronic Shop Sales Dataset'!$C412</f>
        <v>P00008-Router</v>
      </c>
      <c r="C412" s="11" t="s">
        <v>39</v>
      </c>
      <c r="D412" s="12">
        <v>159.41</v>
      </c>
      <c r="E412" s="11">
        <v>1</v>
      </c>
      <c r="F412" s="11" t="s">
        <v>33</v>
      </c>
      <c r="G412" s="11" t="s">
        <v>632</v>
      </c>
      <c r="H412" s="11" t="s">
        <v>96</v>
      </c>
      <c r="I412" s="11">
        <v>42.011538999999999</v>
      </c>
      <c r="J412" s="11">
        <v>-93.210526000000002</v>
      </c>
      <c r="K412" s="11" t="s">
        <v>15</v>
      </c>
      <c r="L412" s="13">
        <v>45538</v>
      </c>
      <c r="M412" s="13">
        <f>DATEVALUE(TEXT(L412,"mm/dd/yy"))</f>
        <v>45538</v>
      </c>
      <c r="N412" s="12">
        <f>'Electronic Shop Sales Dataset'!$D412*'Electronic Shop Sales Dataset'!$E412</f>
        <v>159.41</v>
      </c>
      <c r="O412" s="12" cm="1">
        <f t="array" ref="O412">_xlfn.IFS($K412="Website",$N412*0.05, $K412="Mobile App",$N412*0.05,TRUE,0)</f>
        <v>0</v>
      </c>
      <c r="P412" s="14" t="str">
        <f>IF(COUNTIF($G$2:G987,G412)&gt;1,"Returning","New")</f>
        <v>New</v>
      </c>
      <c r="Q412" s="24" t="str">
        <f t="shared" si="6"/>
        <v>September</v>
      </c>
      <c r="R412" t="str">
        <v>New Arrival</v>
      </c>
    </row>
    <row r="413" spans="1:18" x14ac:dyDescent="0.25">
      <c r="A413" s="15" t="s">
        <v>49</v>
      </c>
      <c r="B413" s="16" t="str">
        <f>'Electronic Shop Sales Dataset'!$A413&amp;"-"&amp;'Electronic Shop Sales Dataset'!$C413</f>
        <v>P00023-Mouse</v>
      </c>
      <c r="C413" s="16" t="s">
        <v>95</v>
      </c>
      <c r="D413" s="17">
        <v>29.6</v>
      </c>
      <c r="E413" s="16">
        <v>5</v>
      </c>
      <c r="F413" s="16" t="s">
        <v>43</v>
      </c>
      <c r="G413" s="16" t="s">
        <v>633</v>
      </c>
      <c r="H413" s="16" t="s">
        <v>110</v>
      </c>
      <c r="I413" s="16">
        <v>33.040619</v>
      </c>
      <c r="J413" s="16">
        <v>-83.643073999999999</v>
      </c>
      <c r="K413" s="16" t="s">
        <v>23</v>
      </c>
      <c r="L413" s="18">
        <v>45538</v>
      </c>
      <c r="M413" s="13">
        <f>DATEVALUE(TEXT(L413,"mm/dd/yy"))</f>
        <v>45538</v>
      </c>
      <c r="N413" s="17">
        <f>'Electronic Shop Sales Dataset'!$D413*'Electronic Shop Sales Dataset'!$E413</f>
        <v>148</v>
      </c>
      <c r="O413" s="12" cm="1">
        <f t="array" ref="O413">_xlfn.IFS($K413="Website",$N413*0.05, $K413="Mobile App",$N413*0.05,TRUE,0)</f>
        <v>0</v>
      </c>
      <c r="P413" s="14" t="str">
        <f>IF(COUNTIF($G$2:G988,G413)&gt;1,"Returning","New")</f>
        <v>New</v>
      </c>
      <c r="Q413" s="24" t="str">
        <f t="shared" si="6"/>
        <v>September</v>
      </c>
      <c r="R413" t="str">
        <v>New Arrival</v>
      </c>
    </row>
    <row r="414" spans="1:18" x14ac:dyDescent="0.25">
      <c r="A414" s="10" t="s">
        <v>90</v>
      </c>
      <c r="B414" s="11" t="str">
        <f>'Electronic Shop Sales Dataset'!$A414&amp;"-"&amp;'Electronic Shop Sales Dataset'!$C414</f>
        <v>P00014-Graphics Card</v>
      </c>
      <c r="C414" s="11" t="s">
        <v>125</v>
      </c>
      <c r="D414" s="12">
        <v>616.19000000000005</v>
      </c>
      <c r="E414" s="11">
        <v>5</v>
      </c>
      <c r="F414" s="11" t="s">
        <v>21</v>
      </c>
      <c r="G414" s="11" t="s">
        <v>634</v>
      </c>
      <c r="H414" s="11" t="s">
        <v>87</v>
      </c>
      <c r="I414" s="11">
        <v>33.729759000000001</v>
      </c>
      <c r="J414" s="11">
        <v>-111.43122099999999</v>
      </c>
      <c r="K414" s="11" t="s">
        <v>15</v>
      </c>
      <c r="L414" s="13">
        <v>45538</v>
      </c>
      <c r="M414" s="13">
        <f>DATEVALUE(TEXT(L414,"mm/dd/yy"))</f>
        <v>45538</v>
      </c>
      <c r="N414" s="12">
        <f>'Electronic Shop Sales Dataset'!$D414*'Electronic Shop Sales Dataset'!$E414</f>
        <v>3080.9500000000003</v>
      </c>
      <c r="O414" s="12" cm="1">
        <f t="array" ref="O414">_xlfn.IFS($K414="Website",$N414*0.05, $K414="Mobile App",$N414*0.05,TRUE,0)</f>
        <v>0</v>
      </c>
      <c r="P414" s="14" t="str">
        <f>IF(COUNTIF($G$2:G989,G414)&gt;1,"Returning","New")</f>
        <v>New</v>
      </c>
      <c r="Q414" s="24" t="str">
        <f t="shared" si="6"/>
        <v>September</v>
      </c>
      <c r="R414" t="str">
        <v>New Arrival</v>
      </c>
    </row>
    <row r="415" spans="1:18" x14ac:dyDescent="0.25">
      <c r="A415" s="15" t="s">
        <v>117</v>
      </c>
      <c r="B415" s="16" t="str">
        <f>'Electronic Shop Sales Dataset'!$A415&amp;"-"&amp;'Electronic Shop Sales Dataset'!$C415</f>
        <v>P00016-Power Bank</v>
      </c>
      <c r="C415" s="16" t="s">
        <v>124</v>
      </c>
      <c r="D415" s="17">
        <v>93.17</v>
      </c>
      <c r="E415" s="16">
        <v>4</v>
      </c>
      <c r="F415" s="16" t="s">
        <v>33</v>
      </c>
      <c r="G415" s="16" t="s">
        <v>635</v>
      </c>
      <c r="H415" s="16" t="s">
        <v>120</v>
      </c>
      <c r="I415" s="16">
        <v>40.349457000000001</v>
      </c>
      <c r="J415" s="16">
        <v>-88.986136999999999</v>
      </c>
      <c r="K415" s="16" t="s">
        <v>54</v>
      </c>
      <c r="L415" s="18">
        <v>45539</v>
      </c>
      <c r="M415" s="13">
        <f>DATEVALUE(TEXT(L415,"mm/dd/yy"))</f>
        <v>45539</v>
      </c>
      <c r="N415" s="17">
        <f>'Electronic Shop Sales Dataset'!$D415*'Electronic Shop Sales Dataset'!$E415</f>
        <v>372.68</v>
      </c>
      <c r="O415" s="12" cm="1">
        <f t="array" ref="O415">_xlfn.IFS($K415="Website",$N415*0.05, $K415="Mobile App",$N415*0.05,TRUE,0)</f>
        <v>18.634</v>
      </c>
      <c r="P415" s="14" t="str">
        <f>IF(COUNTIF($G$2:G990,G415)&gt;1,"Returning","New")</f>
        <v>New</v>
      </c>
      <c r="Q415" s="24" t="str">
        <f t="shared" si="6"/>
        <v>September</v>
      </c>
      <c r="R415" t="str">
        <v>New Arrival</v>
      </c>
    </row>
    <row r="416" spans="1:18" x14ac:dyDescent="0.25">
      <c r="A416" s="10" t="s">
        <v>28</v>
      </c>
      <c r="B416" s="11" t="str">
        <f>'Electronic Shop Sales Dataset'!$A416&amp;"-"&amp;'Electronic Shop Sales Dataset'!$C416</f>
        <v>P00006-Smart Home Hub</v>
      </c>
      <c r="C416" s="11" t="s">
        <v>42</v>
      </c>
      <c r="D416" s="12">
        <v>284.38</v>
      </c>
      <c r="E416" s="11">
        <v>4</v>
      </c>
      <c r="F416" s="11" t="s">
        <v>43</v>
      </c>
      <c r="G416" s="11" t="s">
        <v>145</v>
      </c>
      <c r="H416" s="11" t="s">
        <v>156</v>
      </c>
      <c r="I416" s="11">
        <v>41.125369999999997</v>
      </c>
      <c r="J416" s="11">
        <v>-98.268082000000007</v>
      </c>
      <c r="K416" s="11" t="s">
        <v>27</v>
      </c>
      <c r="L416" s="13">
        <v>45543</v>
      </c>
      <c r="M416" s="13">
        <f>DATEVALUE(TEXT(L416,"mm/dd/yy"))</f>
        <v>45543</v>
      </c>
      <c r="N416" s="12">
        <f>'Electronic Shop Sales Dataset'!$D416*'Electronic Shop Sales Dataset'!$E416</f>
        <v>1137.52</v>
      </c>
      <c r="O416" s="12" cm="1">
        <f t="array" ref="O416">_xlfn.IFS($K416="Website",$N416*0.05, $K416="Mobile App",$N416*0.05,TRUE,0)</f>
        <v>0</v>
      </c>
      <c r="P416" s="14" t="str">
        <f>IF(COUNTIF($G$2:G991,G416)&gt;1,"Returning","New")</f>
        <v>New</v>
      </c>
      <c r="Q416" s="24" t="str">
        <f t="shared" si="6"/>
        <v>September</v>
      </c>
      <c r="R416" t="str">
        <v>New Arrival</v>
      </c>
    </row>
    <row r="417" spans="1:18" x14ac:dyDescent="0.25">
      <c r="A417" s="15" t="s">
        <v>51</v>
      </c>
      <c r="B417" s="16" t="str">
        <f>'Electronic Shop Sales Dataset'!$A417&amp;"-"&amp;'Electronic Shop Sales Dataset'!$C417</f>
        <v>P00017-Printer</v>
      </c>
      <c r="C417" s="16" t="s">
        <v>52</v>
      </c>
      <c r="D417" s="17">
        <v>405.1</v>
      </c>
      <c r="E417" s="16">
        <v>3</v>
      </c>
      <c r="F417" s="16" t="s">
        <v>13</v>
      </c>
      <c r="G417" s="16" t="s">
        <v>636</v>
      </c>
      <c r="H417" s="16" t="s">
        <v>37</v>
      </c>
      <c r="I417" s="16">
        <v>37.769337</v>
      </c>
      <c r="J417" s="16">
        <v>-78.169967999999997</v>
      </c>
      <c r="K417" s="16" t="s">
        <v>48</v>
      </c>
      <c r="L417" s="18">
        <v>45544</v>
      </c>
      <c r="M417" s="13">
        <f>DATEVALUE(TEXT(L417,"mm/dd/yy"))</f>
        <v>45544</v>
      </c>
      <c r="N417" s="17">
        <f>'Electronic Shop Sales Dataset'!$D417*'Electronic Shop Sales Dataset'!$E417</f>
        <v>1215.3000000000002</v>
      </c>
      <c r="O417" s="12" cm="1">
        <f t="array" ref="O417">_xlfn.IFS($K417="Website",$N417*0.05, $K417="Mobile App",$N417*0.05,TRUE,0)</f>
        <v>60.765000000000015</v>
      </c>
      <c r="P417" s="14" t="str">
        <f>IF(COUNTIF($G$2:G992,G417)&gt;1,"Returning","New")</f>
        <v>New</v>
      </c>
      <c r="Q417" s="24" t="str">
        <f t="shared" si="6"/>
        <v>September</v>
      </c>
      <c r="R417" t="str">
        <v>New Arrival</v>
      </c>
    </row>
    <row r="418" spans="1:18" x14ac:dyDescent="0.25">
      <c r="A418" s="10" t="s">
        <v>51</v>
      </c>
      <c r="B418" s="11" t="str">
        <f>'Electronic Shop Sales Dataset'!$A418&amp;"-"&amp;'Electronic Shop Sales Dataset'!$C418</f>
        <v>P00017-VR Headset</v>
      </c>
      <c r="C418" s="11" t="s">
        <v>72</v>
      </c>
      <c r="D418" s="12">
        <v>200.92</v>
      </c>
      <c r="E418" s="11">
        <v>3</v>
      </c>
      <c r="F418" s="11" t="s">
        <v>13</v>
      </c>
      <c r="G418" s="11" t="s">
        <v>637</v>
      </c>
      <c r="H418" s="11" t="s">
        <v>112</v>
      </c>
      <c r="I418" s="11">
        <v>39.063946000000001</v>
      </c>
      <c r="J418" s="11">
        <v>-76.802100999999993</v>
      </c>
      <c r="K418" s="11" t="s">
        <v>23</v>
      </c>
      <c r="L418" s="13">
        <v>45544</v>
      </c>
      <c r="M418" s="13">
        <f>DATEVALUE(TEXT(L418,"mm/dd/yy"))</f>
        <v>45544</v>
      </c>
      <c r="N418" s="12">
        <f>'Electronic Shop Sales Dataset'!$D418*'Electronic Shop Sales Dataset'!$E418</f>
        <v>602.76</v>
      </c>
      <c r="O418" s="12" cm="1">
        <f t="array" ref="O418">_xlfn.IFS($K418="Website",$N418*0.05, $K418="Mobile App",$N418*0.05,TRUE,0)</f>
        <v>0</v>
      </c>
      <c r="P418" s="14" t="str">
        <f>IF(COUNTIF($G$2:G993,G418)&gt;1,"Returning","New")</f>
        <v>New</v>
      </c>
      <c r="Q418" s="24" t="str">
        <f t="shared" si="6"/>
        <v>September</v>
      </c>
      <c r="R418" t="str">
        <v>New Arrival</v>
      </c>
    </row>
    <row r="419" spans="1:18" x14ac:dyDescent="0.25">
      <c r="A419" s="15" t="s">
        <v>69</v>
      </c>
      <c r="B419" s="16" t="str">
        <f>'Electronic Shop Sales Dataset'!$A419&amp;"-"&amp;'Electronic Shop Sales Dataset'!$C419</f>
        <v>P00005-Projector</v>
      </c>
      <c r="C419" s="16" t="s">
        <v>65</v>
      </c>
      <c r="D419" s="17">
        <v>440.74</v>
      </c>
      <c r="E419" s="16">
        <v>4</v>
      </c>
      <c r="F419" s="16" t="s">
        <v>21</v>
      </c>
      <c r="G419" s="16" t="s">
        <v>638</v>
      </c>
      <c r="H419" s="16" t="s">
        <v>158</v>
      </c>
      <c r="I419" s="16">
        <v>44.240459000000001</v>
      </c>
      <c r="J419" s="16">
        <v>-114.47882799999999</v>
      </c>
      <c r="K419" s="16" t="s">
        <v>48</v>
      </c>
      <c r="L419" s="18">
        <v>45545</v>
      </c>
      <c r="M419" s="13">
        <f>DATEVALUE(TEXT(L419,"mm/dd/yy"))</f>
        <v>45545</v>
      </c>
      <c r="N419" s="17">
        <f>'Electronic Shop Sales Dataset'!$D419*'Electronic Shop Sales Dataset'!$E419</f>
        <v>1762.96</v>
      </c>
      <c r="O419" s="12" cm="1">
        <f t="array" ref="O419">_xlfn.IFS($K419="Website",$N419*0.05, $K419="Mobile App",$N419*0.05,TRUE,0)</f>
        <v>88.14800000000001</v>
      </c>
      <c r="P419" s="14" t="str">
        <f>IF(COUNTIF($G$2:G994,G419)&gt;1,"Returning","New")</f>
        <v>New</v>
      </c>
      <c r="Q419" s="24" t="str">
        <f t="shared" si="6"/>
        <v>September</v>
      </c>
      <c r="R419" t="str">
        <v>New Arrival</v>
      </c>
    </row>
    <row r="420" spans="1:18" x14ac:dyDescent="0.25">
      <c r="A420" s="10" t="s">
        <v>86</v>
      </c>
      <c r="B420" s="11" t="str">
        <f>'Electronic Shop Sales Dataset'!$A420&amp;"-"&amp;'Electronic Shop Sales Dataset'!$C420</f>
        <v>P00021-USB Drive</v>
      </c>
      <c r="C420" s="11" t="s">
        <v>36</v>
      </c>
      <c r="D420" s="12">
        <v>33.729999999999997</v>
      </c>
      <c r="E420" s="11">
        <v>5</v>
      </c>
      <c r="F420" s="11" t="s">
        <v>13</v>
      </c>
      <c r="G420" s="11" t="s">
        <v>639</v>
      </c>
      <c r="H420" s="11" t="s">
        <v>14</v>
      </c>
      <c r="I420" s="11">
        <v>42.230170999999999</v>
      </c>
      <c r="J420" s="11">
        <v>-71.530106000000004</v>
      </c>
      <c r="K420" s="11" t="s">
        <v>23</v>
      </c>
      <c r="L420" s="13">
        <v>45545</v>
      </c>
      <c r="M420" s="13">
        <f>DATEVALUE(TEXT(L420,"mm/dd/yy"))</f>
        <v>45545</v>
      </c>
      <c r="N420" s="12">
        <f>'Electronic Shop Sales Dataset'!$D420*'Electronic Shop Sales Dataset'!$E420</f>
        <v>168.64999999999998</v>
      </c>
      <c r="O420" s="12" cm="1">
        <f t="array" ref="O420">_xlfn.IFS($K420="Website",$N420*0.05, $K420="Mobile App",$N420*0.05,TRUE,0)</f>
        <v>0</v>
      </c>
      <c r="P420" s="14" t="str">
        <f>IF(COUNTIF($G$2:G995,G420)&gt;1,"Returning","New")</f>
        <v>New</v>
      </c>
      <c r="Q420" s="24" t="str">
        <f t="shared" si="6"/>
        <v>September</v>
      </c>
      <c r="R420" t="str">
        <v>New Arrival</v>
      </c>
    </row>
    <row r="421" spans="1:18" x14ac:dyDescent="0.25">
      <c r="A421" s="15" t="s">
        <v>38</v>
      </c>
      <c r="B421" s="16" t="str">
        <f>'Electronic Shop Sales Dataset'!$A421&amp;"-"&amp;'Electronic Shop Sales Dataset'!$C421</f>
        <v>P00007-Mouse</v>
      </c>
      <c r="C421" s="16" t="s">
        <v>95</v>
      </c>
      <c r="D421" s="17">
        <v>44.58</v>
      </c>
      <c r="E421" s="16">
        <v>5</v>
      </c>
      <c r="F421" s="16" t="s">
        <v>13</v>
      </c>
      <c r="G421" s="16" t="s">
        <v>155</v>
      </c>
      <c r="H421" s="16" t="s">
        <v>18</v>
      </c>
      <c r="I421" s="16">
        <v>47.528911999999998</v>
      </c>
      <c r="J421" s="16">
        <v>-99.784012000000004</v>
      </c>
      <c r="K421" s="16" t="s">
        <v>54</v>
      </c>
      <c r="L421" s="18">
        <v>45546</v>
      </c>
      <c r="M421" s="13">
        <f>DATEVALUE(TEXT(L421,"mm/dd/yy"))</f>
        <v>45546</v>
      </c>
      <c r="N421" s="17">
        <f>'Electronic Shop Sales Dataset'!$D421*'Electronic Shop Sales Dataset'!$E421</f>
        <v>222.89999999999998</v>
      </c>
      <c r="O421" s="12" cm="1">
        <f t="array" ref="O421">_xlfn.IFS($K421="Website",$N421*0.05, $K421="Mobile App",$N421*0.05,TRUE,0)</f>
        <v>11.145</v>
      </c>
      <c r="P421" s="14" t="str">
        <f>IF(COUNTIF($G$2:G996,G421)&gt;1,"Returning","New")</f>
        <v>New</v>
      </c>
      <c r="Q421" s="24" t="str">
        <f t="shared" si="6"/>
        <v>September</v>
      </c>
      <c r="R421" t="str">
        <v>New Arrival</v>
      </c>
    </row>
    <row r="422" spans="1:18" x14ac:dyDescent="0.25">
      <c r="A422" s="10" t="s">
        <v>86</v>
      </c>
      <c r="B422" s="11" t="str">
        <f>'Electronic Shop Sales Dataset'!$A422&amp;"-"&amp;'Electronic Shop Sales Dataset'!$C422</f>
        <v>P00021-Monitor</v>
      </c>
      <c r="C422" s="11" t="s">
        <v>25</v>
      </c>
      <c r="D422" s="12">
        <v>607.16999999999996</v>
      </c>
      <c r="E422" s="11">
        <v>5</v>
      </c>
      <c r="F422" s="11" t="s">
        <v>13</v>
      </c>
      <c r="G422" s="11" t="s">
        <v>640</v>
      </c>
      <c r="H422" s="11" t="s">
        <v>57</v>
      </c>
      <c r="I422" s="11">
        <v>40.150032000000003</v>
      </c>
      <c r="J422" s="11">
        <v>-111.86243399999999</v>
      </c>
      <c r="K422" s="11" t="s">
        <v>54</v>
      </c>
      <c r="L422" s="13">
        <v>45546</v>
      </c>
      <c r="M422" s="13">
        <f>DATEVALUE(TEXT(L422,"mm/dd/yy"))</f>
        <v>45546</v>
      </c>
      <c r="N422" s="12">
        <f>'Electronic Shop Sales Dataset'!$D422*'Electronic Shop Sales Dataset'!$E422</f>
        <v>3035.85</v>
      </c>
      <c r="O422" s="12" cm="1">
        <f t="array" ref="O422">_xlfn.IFS($K422="Website",$N422*0.05, $K422="Mobile App",$N422*0.05,TRUE,0)</f>
        <v>151.79249999999999</v>
      </c>
      <c r="P422" s="14" t="str">
        <f>IF(COUNTIF($G$2:G997,G422)&gt;1,"Returning","New")</f>
        <v>New</v>
      </c>
      <c r="Q422" s="24" t="str">
        <f t="shared" si="6"/>
        <v>September</v>
      </c>
      <c r="R422" t="str">
        <v>New Arrival</v>
      </c>
    </row>
    <row r="423" spans="1:18" x14ac:dyDescent="0.25">
      <c r="A423" s="15" t="s">
        <v>84</v>
      </c>
      <c r="B423" s="16" t="str">
        <f>'Electronic Shop Sales Dataset'!$A423&amp;"-"&amp;'Electronic Shop Sales Dataset'!$C423</f>
        <v>P00020-Smartphone</v>
      </c>
      <c r="C423" s="16" t="s">
        <v>12</v>
      </c>
      <c r="D423" s="17">
        <v>815.67</v>
      </c>
      <c r="E423" s="16">
        <v>2</v>
      </c>
      <c r="F423" s="16" t="s">
        <v>21</v>
      </c>
      <c r="G423" s="16" t="s">
        <v>641</v>
      </c>
      <c r="H423" s="16" t="s">
        <v>120</v>
      </c>
      <c r="I423" s="16">
        <v>40.349457000000001</v>
      </c>
      <c r="J423" s="16">
        <v>-88.986136999999999</v>
      </c>
      <c r="K423" s="16" t="s">
        <v>48</v>
      </c>
      <c r="L423" s="18">
        <v>45549</v>
      </c>
      <c r="M423" s="13">
        <f>DATEVALUE(TEXT(L423,"mm/dd/yy"))</f>
        <v>45549</v>
      </c>
      <c r="N423" s="17">
        <f>'Electronic Shop Sales Dataset'!$D423*'Electronic Shop Sales Dataset'!$E423</f>
        <v>1631.34</v>
      </c>
      <c r="O423" s="12" cm="1">
        <f t="array" ref="O423">_xlfn.IFS($K423="Website",$N423*0.05, $K423="Mobile App",$N423*0.05,TRUE,0)</f>
        <v>81.567000000000007</v>
      </c>
      <c r="P423" s="14" t="str">
        <f>IF(COUNTIF($G$2:G998,G423)&gt;1,"Returning","New")</f>
        <v>New</v>
      </c>
      <c r="Q423" s="24" t="str">
        <f t="shared" si="6"/>
        <v>September</v>
      </c>
      <c r="R423" t="str">
        <v>New Arrival</v>
      </c>
    </row>
    <row r="424" spans="1:18" x14ac:dyDescent="0.25">
      <c r="A424" s="10" t="s">
        <v>61</v>
      </c>
      <c r="B424" s="11" t="str">
        <f>'Electronic Shop Sales Dataset'!$A424&amp;"-"&amp;'Electronic Shop Sales Dataset'!$C424</f>
        <v>P00002-VR Headset</v>
      </c>
      <c r="C424" s="11" t="s">
        <v>72</v>
      </c>
      <c r="D424" s="12">
        <v>497.72</v>
      </c>
      <c r="E424" s="11">
        <v>3</v>
      </c>
      <c r="F424" s="11" t="s">
        <v>33</v>
      </c>
      <c r="G424" s="11" t="s">
        <v>642</v>
      </c>
      <c r="H424" s="11" t="s">
        <v>26</v>
      </c>
      <c r="I424" s="11">
        <v>35.747844999999998</v>
      </c>
      <c r="J424" s="11">
        <v>-86.692345000000003</v>
      </c>
      <c r="K424" s="11" t="s">
        <v>23</v>
      </c>
      <c r="L424" s="13">
        <v>45551</v>
      </c>
      <c r="M424" s="13">
        <f>DATEVALUE(TEXT(L424,"mm/dd/yy"))</f>
        <v>45551</v>
      </c>
      <c r="N424" s="12">
        <f>'Electronic Shop Sales Dataset'!$D424*'Electronic Shop Sales Dataset'!$E424</f>
        <v>1493.16</v>
      </c>
      <c r="O424" s="12" cm="1">
        <f t="array" ref="O424">_xlfn.IFS($K424="Website",$N424*0.05, $K424="Mobile App",$N424*0.05,TRUE,0)</f>
        <v>0</v>
      </c>
      <c r="P424" s="14" t="str">
        <f>IF(COUNTIF($G$2:G999,G424)&gt;1,"Returning","New")</f>
        <v>New</v>
      </c>
      <c r="Q424" s="24" t="str">
        <f t="shared" si="6"/>
        <v>September</v>
      </c>
      <c r="R424" t="str">
        <v>New Arrival</v>
      </c>
    </row>
    <row r="425" spans="1:18" x14ac:dyDescent="0.25">
      <c r="A425" s="15" t="s">
        <v>31</v>
      </c>
      <c r="B425" s="16" t="str">
        <f>'Electronic Shop Sales Dataset'!$A425&amp;"-"&amp;'Electronic Shop Sales Dataset'!$C425</f>
        <v>P00022-Smart Home Hub</v>
      </c>
      <c r="C425" s="16" t="s">
        <v>42</v>
      </c>
      <c r="D425" s="17">
        <v>137.11000000000001</v>
      </c>
      <c r="E425" s="16">
        <v>4</v>
      </c>
      <c r="F425" s="16" t="s">
        <v>13</v>
      </c>
      <c r="G425" s="16" t="s">
        <v>643</v>
      </c>
      <c r="H425" s="16" t="s">
        <v>57</v>
      </c>
      <c r="I425" s="16">
        <v>40.150032000000003</v>
      </c>
      <c r="J425" s="16">
        <v>-111.86243399999999</v>
      </c>
      <c r="K425" s="16" t="s">
        <v>48</v>
      </c>
      <c r="L425" s="18">
        <v>45554</v>
      </c>
      <c r="M425" s="13">
        <f>DATEVALUE(TEXT(L425,"mm/dd/yy"))</f>
        <v>45554</v>
      </c>
      <c r="N425" s="17">
        <f>'Electronic Shop Sales Dataset'!$D425*'Electronic Shop Sales Dataset'!$E425</f>
        <v>548.44000000000005</v>
      </c>
      <c r="O425" s="12" cm="1">
        <f t="array" ref="O425">_xlfn.IFS($K425="Website",$N425*0.05, $K425="Mobile App",$N425*0.05,TRUE,0)</f>
        <v>27.422000000000004</v>
      </c>
      <c r="P425" s="14" t="str">
        <f>IF(COUNTIF($G$2:G1000,G425)&gt;1,"Returning","New")</f>
        <v>New</v>
      </c>
      <c r="Q425" s="24" t="str">
        <f t="shared" si="6"/>
        <v>September</v>
      </c>
      <c r="R425" t="str">
        <v>New Arrival</v>
      </c>
    </row>
    <row r="426" spans="1:18" x14ac:dyDescent="0.25">
      <c r="A426" s="10" t="s">
        <v>11</v>
      </c>
      <c r="B426" s="11" t="str">
        <f>'Electronic Shop Sales Dataset'!$A426&amp;"-"&amp;'Electronic Shop Sales Dataset'!$C426</f>
        <v>P00019-Router</v>
      </c>
      <c r="C426" s="11" t="s">
        <v>39</v>
      </c>
      <c r="D426" s="12">
        <v>108.11</v>
      </c>
      <c r="E426" s="11">
        <v>5</v>
      </c>
      <c r="F426" s="11" t="s">
        <v>13</v>
      </c>
      <c r="G426" s="11" t="s">
        <v>644</v>
      </c>
      <c r="H426" s="11" t="s">
        <v>91</v>
      </c>
      <c r="I426" s="11">
        <v>38.313515000000002</v>
      </c>
      <c r="J426" s="11">
        <v>-117.055374</v>
      </c>
      <c r="K426" s="11" t="s">
        <v>23</v>
      </c>
      <c r="L426" s="13">
        <v>45554</v>
      </c>
      <c r="M426" s="13">
        <f>DATEVALUE(TEXT(L426,"mm/dd/yy"))</f>
        <v>45554</v>
      </c>
      <c r="N426" s="12">
        <f>'Electronic Shop Sales Dataset'!$D426*'Electronic Shop Sales Dataset'!$E426</f>
        <v>540.54999999999995</v>
      </c>
      <c r="O426" s="12" cm="1">
        <f t="array" ref="O426">_xlfn.IFS($K426="Website",$N426*0.05, $K426="Mobile App",$N426*0.05,TRUE,0)</f>
        <v>0</v>
      </c>
      <c r="P426" s="14" t="str">
        <f>IF(COUNTIF($G$2:G1001,G426)&gt;1,"Returning","New")</f>
        <v>New</v>
      </c>
      <c r="Q426" s="24" t="str">
        <f t="shared" si="6"/>
        <v>September</v>
      </c>
      <c r="R426" t="str">
        <v>New Arrival</v>
      </c>
    </row>
    <row r="427" spans="1:18" x14ac:dyDescent="0.25">
      <c r="A427" s="15" t="s">
        <v>19</v>
      </c>
      <c r="B427" s="16" t="str">
        <f>'Electronic Shop Sales Dataset'!$A427&amp;"-"&amp;'Electronic Shop Sales Dataset'!$C427</f>
        <v>P00003-Smart TV</v>
      </c>
      <c r="C427" s="16" t="s">
        <v>74</v>
      </c>
      <c r="D427" s="17">
        <v>896.6</v>
      </c>
      <c r="E427" s="16">
        <v>4</v>
      </c>
      <c r="F427" s="16" t="s">
        <v>21</v>
      </c>
      <c r="G427" s="16" t="s">
        <v>645</v>
      </c>
      <c r="H427" s="16" t="s">
        <v>82</v>
      </c>
      <c r="I427" s="16">
        <v>44.268543000000001</v>
      </c>
      <c r="J427" s="16">
        <v>-89.616507999999996</v>
      </c>
      <c r="K427" s="16" t="s">
        <v>23</v>
      </c>
      <c r="L427" s="18">
        <v>45555</v>
      </c>
      <c r="M427" s="13">
        <f>DATEVALUE(TEXT(L427,"mm/dd/yy"))</f>
        <v>45555</v>
      </c>
      <c r="N427" s="17">
        <f>'Electronic Shop Sales Dataset'!$D427*'Electronic Shop Sales Dataset'!$E427</f>
        <v>3586.4</v>
      </c>
      <c r="O427" s="12" cm="1">
        <f t="array" ref="O427">_xlfn.IFS($K427="Website",$N427*0.05, $K427="Mobile App",$N427*0.05,TRUE,0)</f>
        <v>0</v>
      </c>
      <c r="P427" s="14" t="str">
        <f>IF(COUNTIF($G$2:G1002,G427)&gt;1,"Returning","New")</f>
        <v>New</v>
      </c>
      <c r="Q427" s="24" t="str">
        <f t="shared" si="6"/>
        <v>September</v>
      </c>
      <c r="R427" t="str">
        <v>New Arrival</v>
      </c>
    </row>
    <row r="428" spans="1:18" x14ac:dyDescent="0.25">
      <c r="A428" s="10" t="s">
        <v>24</v>
      </c>
      <c r="B428" s="11" t="str">
        <f>'Electronic Shop Sales Dataset'!$A428&amp;"-"&amp;'Electronic Shop Sales Dataset'!$C428</f>
        <v>P00013-Smartphone</v>
      </c>
      <c r="C428" s="11" t="s">
        <v>12</v>
      </c>
      <c r="D428" s="12">
        <v>1003.36</v>
      </c>
      <c r="E428" s="11">
        <v>1</v>
      </c>
      <c r="F428" s="11" t="s">
        <v>33</v>
      </c>
      <c r="G428" s="11" t="s">
        <v>646</v>
      </c>
      <c r="H428" s="11" t="s">
        <v>18</v>
      </c>
      <c r="I428" s="11">
        <v>47.528911999999998</v>
      </c>
      <c r="J428" s="11">
        <v>-99.784012000000004</v>
      </c>
      <c r="K428" s="11" t="s">
        <v>23</v>
      </c>
      <c r="L428" s="13">
        <v>45557</v>
      </c>
      <c r="M428" s="13">
        <f>DATEVALUE(TEXT(L428,"mm/dd/yy"))</f>
        <v>45557</v>
      </c>
      <c r="N428" s="12">
        <f>'Electronic Shop Sales Dataset'!$D428*'Electronic Shop Sales Dataset'!$E428</f>
        <v>1003.36</v>
      </c>
      <c r="O428" s="12" cm="1">
        <f t="array" ref="O428">_xlfn.IFS($K428="Website",$N428*0.05, $K428="Mobile App",$N428*0.05,TRUE,0)</f>
        <v>0</v>
      </c>
      <c r="P428" s="14" t="str">
        <f>IF(COUNTIF($G$2:G1003,G428)&gt;1,"Returning","New")</f>
        <v>New</v>
      </c>
      <c r="Q428" s="24" t="str">
        <f t="shared" si="6"/>
        <v>September</v>
      </c>
      <c r="R428" t="str">
        <v>New Arrival</v>
      </c>
    </row>
    <row r="429" spans="1:18" x14ac:dyDescent="0.25">
      <c r="A429" s="15" t="s">
        <v>88</v>
      </c>
      <c r="B429" s="16" t="str">
        <f>'Electronic Shop Sales Dataset'!$A429&amp;"-"&amp;'Electronic Shop Sales Dataset'!$C429</f>
        <v>P00018-USB Drive</v>
      </c>
      <c r="C429" s="16" t="s">
        <v>36</v>
      </c>
      <c r="D429" s="17">
        <v>17.2</v>
      </c>
      <c r="E429" s="16">
        <v>3</v>
      </c>
      <c r="F429" s="16" t="s">
        <v>43</v>
      </c>
      <c r="G429" s="16" t="s">
        <v>647</v>
      </c>
      <c r="H429" s="16" t="s">
        <v>123</v>
      </c>
      <c r="I429" s="16">
        <v>40.388782999999997</v>
      </c>
      <c r="J429" s="16">
        <v>-82.764915000000002</v>
      </c>
      <c r="K429" s="16" t="s">
        <v>54</v>
      </c>
      <c r="L429" s="18">
        <v>45559</v>
      </c>
      <c r="M429" s="13">
        <f>DATEVALUE(TEXT(L429,"mm/dd/yy"))</f>
        <v>45559</v>
      </c>
      <c r="N429" s="17">
        <f>'Electronic Shop Sales Dataset'!$D429*'Electronic Shop Sales Dataset'!$E429</f>
        <v>51.599999999999994</v>
      </c>
      <c r="O429" s="12" cm="1">
        <f t="array" ref="O429">_xlfn.IFS($K429="Website",$N429*0.05, $K429="Mobile App",$N429*0.05,TRUE,0)</f>
        <v>2.58</v>
      </c>
      <c r="P429" s="14" t="str">
        <f>IF(COUNTIF($G$2:G1004,G429)&gt;1,"Returning","New")</f>
        <v>New</v>
      </c>
      <c r="Q429" s="24" t="str">
        <f t="shared" si="6"/>
        <v>September</v>
      </c>
      <c r="R429" t="str">
        <v>New Arrival</v>
      </c>
    </row>
    <row r="430" spans="1:18" x14ac:dyDescent="0.25">
      <c r="A430" s="10" t="s">
        <v>60</v>
      </c>
      <c r="B430" s="11" t="str">
        <f>'Electronic Shop Sales Dataset'!$A430&amp;"-"&amp;'Electronic Shop Sales Dataset'!$C430</f>
        <v>P00015-USB Drive</v>
      </c>
      <c r="C430" s="11" t="s">
        <v>36</v>
      </c>
      <c r="D430" s="12">
        <v>5.85</v>
      </c>
      <c r="E430" s="11">
        <v>1</v>
      </c>
      <c r="F430" s="11" t="s">
        <v>13</v>
      </c>
      <c r="G430" s="11" t="s">
        <v>648</v>
      </c>
      <c r="H430" s="11" t="s">
        <v>70</v>
      </c>
      <c r="I430" s="11">
        <v>39.849426000000001</v>
      </c>
      <c r="J430" s="11">
        <v>-86.258278000000004</v>
      </c>
      <c r="K430" s="11" t="s">
        <v>48</v>
      </c>
      <c r="L430" s="13">
        <v>45560</v>
      </c>
      <c r="M430" s="13">
        <f>DATEVALUE(TEXT(L430,"mm/dd/yy"))</f>
        <v>45560</v>
      </c>
      <c r="N430" s="12">
        <f>'Electronic Shop Sales Dataset'!$D430*'Electronic Shop Sales Dataset'!$E430</f>
        <v>5.85</v>
      </c>
      <c r="O430" s="12" cm="1">
        <f t="array" ref="O430">_xlfn.IFS($K430="Website",$N430*0.05, $K430="Mobile App",$N430*0.05,TRUE,0)</f>
        <v>0.29249999999999998</v>
      </c>
      <c r="P430" s="14" t="str">
        <f>IF(COUNTIF($G$2:G1005,G430)&gt;1,"Returning","New")</f>
        <v>New</v>
      </c>
      <c r="Q430" s="24" t="str">
        <f t="shared" si="6"/>
        <v>September</v>
      </c>
      <c r="R430" t="str">
        <v>New Arrival</v>
      </c>
    </row>
    <row r="431" spans="1:18" x14ac:dyDescent="0.25">
      <c r="A431" s="15" t="s">
        <v>102</v>
      </c>
      <c r="B431" s="16" t="str">
        <f>'Electronic Shop Sales Dataset'!$A431&amp;"-"&amp;'Electronic Shop Sales Dataset'!$C431</f>
        <v>P00001-Smartwatch</v>
      </c>
      <c r="C431" s="16" t="s">
        <v>62</v>
      </c>
      <c r="D431" s="17">
        <v>113.74</v>
      </c>
      <c r="E431" s="16">
        <v>1</v>
      </c>
      <c r="F431" s="16" t="s">
        <v>43</v>
      </c>
      <c r="G431" s="16" t="s">
        <v>649</v>
      </c>
      <c r="H431" s="16" t="s">
        <v>115</v>
      </c>
      <c r="I431" s="16">
        <v>38.456085000000002</v>
      </c>
      <c r="J431" s="16">
        <v>-92.288368000000006</v>
      </c>
      <c r="K431" s="16" t="s">
        <v>23</v>
      </c>
      <c r="L431" s="18">
        <v>45560</v>
      </c>
      <c r="M431" s="13">
        <f>DATEVALUE(TEXT(L431,"mm/dd/yy"))</f>
        <v>45560</v>
      </c>
      <c r="N431" s="17">
        <f>'Electronic Shop Sales Dataset'!$D431*'Electronic Shop Sales Dataset'!$E431</f>
        <v>113.74</v>
      </c>
      <c r="O431" s="12" cm="1">
        <f t="array" ref="O431">_xlfn.IFS($K431="Website",$N431*0.05, $K431="Mobile App",$N431*0.05,TRUE,0)</f>
        <v>0</v>
      </c>
      <c r="P431" s="14" t="str">
        <f>IF(COUNTIF($G$2:G1006,G431)&gt;1,"Returning","New")</f>
        <v>New</v>
      </c>
      <c r="Q431" s="24" t="str">
        <f t="shared" si="6"/>
        <v>September</v>
      </c>
      <c r="R431" t="str">
        <v>New Arrival</v>
      </c>
    </row>
    <row r="432" spans="1:18" x14ac:dyDescent="0.25">
      <c r="A432" s="10" t="s">
        <v>90</v>
      </c>
      <c r="B432" s="11" t="str">
        <f>'Electronic Shop Sales Dataset'!$A432&amp;"-"&amp;'Electronic Shop Sales Dataset'!$C432</f>
        <v>P00014-Smart TV</v>
      </c>
      <c r="C432" s="11" t="s">
        <v>74</v>
      </c>
      <c r="D432" s="12">
        <v>1399.53</v>
      </c>
      <c r="E432" s="11">
        <v>2</v>
      </c>
      <c r="F432" s="11" t="s">
        <v>33</v>
      </c>
      <c r="G432" s="11" t="s">
        <v>650</v>
      </c>
      <c r="H432" s="11" t="s">
        <v>78</v>
      </c>
      <c r="I432" s="11">
        <v>31.054487000000002</v>
      </c>
      <c r="J432" s="11">
        <v>-97.563461000000004</v>
      </c>
      <c r="K432" s="11" t="s">
        <v>27</v>
      </c>
      <c r="L432" s="13">
        <v>45560</v>
      </c>
      <c r="M432" s="13">
        <f>DATEVALUE(TEXT(L432,"mm/dd/yy"))</f>
        <v>45560</v>
      </c>
      <c r="N432" s="12">
        <f>'Electronic Shop Sales Dataset'!$D432*'Electronic Shop Sales Dataset'!$E432</f>
        <v>2799.06</v>
      </c>
      <c r="O432" s="12" cm="1">
        <f t="array" ref="O432">_xlfn.IFS($K432="Website",$N432*0.05, $K432="Mobile App",$N432*0.05,TRUE,0)</f>
        <v>0</v>
      </c>
      <c r="P432" s="14" t="str">
        <f>IF(COUNTIF($G$2:G1007,G432)&gt;1,"Returning","New")</f>
        <v>New</v>
      </c>
      <c r="Q432" s="24" t="str">
        <f t="shared" si="6"/>
        <v>September</v>
      </c>
      <c r="R432" t="str">
        <v>New Arrival</v>
      </c>
    </row>
    <row r="433" spans="1:18" x14ac:dyDescent="0.25">
      <c r="A433" s="15" t="s">
        <v>38</v>
      </c>
      <c r="B433" s="16" t="str">
        <f>'Electronic Shop Sales Dataset'!$A433&amp;"-"&amp;'Electronic Shop Sales Dataset'!$C433</f>
        <v>P00007-Printer</v>
      </c>
      <c r="C433" s="16" t="s">
        <v>52</v>
      </c>
      <c r="D433" s="17">
        <v>440.37</v>
      </c>
      <c r="E433" s="16">
        <v>5</v>
      </c>
      <c r="F433" s="16" t="s">
        <v>33</v>
      </c>
      <c r="G433" s="16" t="s">
        <v>651</v>
      </c>
      <c r="H433" s="16" t="s">
        <v>129</v>
      </c>
      <c r="I433" s="16">
        <v>42.165725999999999</v>
      </c>
      <c r="J433" s="16">
        <v>-74.948051000000007</v>
      </c>
      <c r="K433" s="16" t="s">
        <v>48</v>
      </c>
      <c r="L433" s="18">
        <v>45560</v>
      </c>
      <c r="M433" s="13">
        <f>DATEVALUE(TEXT(L433,"mm/dd/yy"))</f>
        <v>45560</v>
      </c>
      <c r="N433" s="17">
        <f>'Electronic Shop Sales Dataset'!$D433*'Electronic Shop Sales Dataset'!$E433</f>
        <v>2201.85</v>
      </c>
      <c r="O433" s="12" cm="1">
        <f t="array" ref="O433">_xlfn.IFS($K433="Website",$N433*0.05, $K433="Mobile App",$N433*0.05,TRUE,0)</f>
        <v>110.0925</v>
      </c>
      <c r="P433" s="14" t="str">
        <f>IF(COUNTIF($G$2:G1008,G433)&gt;1,"Returning","New")</f>
        <v>New</v>
      </c>
      <c r="Q433" s="24" t="str">
        <f t="shared" si="6"/>
        <v>September</v>
      </c>
      <c r="R433" t="str">
        <v>New Arrival</v>
      </c>
    </row>
    <row r="434" spans="1:18" x14ac:dyDescent="0.25">
      <c r="A434" s="10" t="s">
        <v>58</v>
      </c>
      <c r="B434" s="11" t="str">
        <f>'Electronic Shop Sales Dataset'!$A434&amp;"-"&amp;'Electronic Shop Sales Dataset'!$C434</f>
        <v>P00009-Smartphone</v>
      </c>
      <c r="C434" s="11" t="s">
        <v>12</v>
      </c>
      <c r="D434" s="12">
        <v>881.24</v>
      </c>
      <c r="E434" s="11">
        <v>3</v>
      </c>
      <c r="F434" s="11" t="s">
        <v>21</v>
      </c>
      <c r="G434" s="11" t="s">
        <v>652</v>
      </c>
      <c r="H434" s="11" t="s">
        <v>156</v>
      </c>
      <c r="I434" s="11">
        <v>41.125369999999997</v>
      </c>
      <c r="J434" s="11">
        <v>-98.268082000000007</v>
      </c>
      <c r="K434" s="11" t="s">
        <v>27</v>
      </c>
      <c r="L434" s="13">
        <v>45561</v>
      </c>
      <c r="M434" s="13">
        <f>DATEVALUE(TEXT(L434,"mm/dd/yy"))</f>
        <v>45561</v>
      </c>
      <c r="N434" s="12">
        <f>'Electronic Shop Sales Dataset'!$D434*'Electronic Shop Sales Dataset'!$E434</f>
        <v>2643.7200000000003</v>
      </c>
      <c r="O434" s="12" cm="1">
        <f t="array" ref="O434">_xlfn.IFS($K434="Website",$N434*0.05, $K434="Mobile App",$N434*0.05,TRUE,0)</f>
        <v>0</v>
      </c>
      <c r="P434" s="14" t="str">
        <f>IF(COUNTIF($G$2:G1009,G434)&gt;1,"Returning","New")</f>
        <v>New</v>
      </c>
      <c r="Q434" s="24" t="str">
        <f t="shared" si="6"/>
        <v>September</v>
      </c>
      <c r="R434" t="str">
        <v>New Arrival</v>
      </c>
    </row>
    <row r="435" spans="1:18" x14ac:dyDescent="0.25">
      <c r="A435" s="15" t="s">
        <v>92</v>
      </c>
      <c r="B435" s="16" t="str">
        <f>'Electronic Shop Sales Dataset'!$A435&amp;"-"&amp;'Electronic Shop Sales Dataset'!$C435</f>
        <v>P00004-Power Bank</v>
      </c>
      <c r="C435" s="16" t="s">
        <v>124</v>
      </c>
      <c r="D435" s="17">
        <v>41.67</v>
      </c>
      <c r="E435" s="16">
        <v>2</v>
      </c>
      <c r="F435" s="16" t="s">
        <v>43</v>
      </c>
      <c r="G435" s="16" t="s">
        <v>653</v>
      </c>
      <c r="H435" s="16" t="s">
        <v>96</v>
      </c>
      <c r="I435" s="16">
        <v>42.011538999999999</v>
      </c>
      <c r="J435" s="16">
        <v>-93.210526000000002</v>
      </c>
      <c r="K435" s="16" t="s">
        <v>48</v>
      </c>
      <c r="L435" s="18">
        <v>45561</v>
      </c>
      <c r="M435" s="13">
        <f>DATEVALUE(TEXT(L435,"mm/dd/yy"))</f>
        <v>45561</v>
      </c>
      <c r="N435" s="17">
        <f>'Electronic Shop Sales Dataset'!$D435*'Electronic Shop Sales Dataset'!$E435</f>
        <v>83.34</v>
      </c>
      <c r="O435" s="12" cm="1">
        <f t="array" ref="O435">_xlfn.IFS($K435="Website",$N435*0.05, $K435="Mobile App",$N435*0.05,TRUE,0)</f>
        <v>4.1670000000000007</v>
      </c>
      <c r="P435" s="14" t="str">
        <f>IF(COUNTIF($G$2:G1010,G435)&gt;1,"Returning","New")</f>
        <v>New</v>
      </c>
      <c r="Q435" s="24" t="str">
        <f t="shared" si="6"/>
        <v>September</v>
      </c>
      <c r="R435" t="str">
        <v>New Arrival</v>
      </c>
    </row>
    <row r="436" spans="1:18" x14ac:dyDescent="0.25">
      <c r="A436" s="10" t="s">
        <v>35</v>
      </c>
      <c r="B436" s="11" t="str">
        <f>'Electronic Shop Sales Dataset'!$A436&amp;"-"&amp;'Electronic Shop Sales Dataset'!$C436</f>
        <v>P00008-Smart TV</v>
      </c>
      <c r="C436" s="11" t="s">
        <v>74</v>
      </c>
      <c r="D436" s="12">
        <v>1639.89</v>
      </c>
      <c r="E436" s="11">
        <v>3</v>
      </c>
      <c r="F436" s="11" t="s">
        <v>13</v>
      </c>
      <c r="G436" s="11" t="s">
        <v>655</v>
      </c>
      <c r="H436" s="11" t="s">
        <v>14</v>
      </c>
      <c r="I436" s="11">
        <v>42.230170999999999</v>
      </c>
      <c r="J436" s="11">
        <v>-71.530106000000004</v>
      </c>
      <c r="K436" s="11" t="s">
        <v>54</v>
      </c>
      <c r="L436" s="13">
        <v>45565</v>
      </c>
      <c r="M436" s="13">
        <f>DATEVALUE(TEXT(L436,"mm/dd/yy"))</f>
        <v>45565</v>
      </c>
      <c r="N436" s="12">
        <f>'Electronic Shop Sales Dataset'!$D436*'Electronic Shop Sales Dataset'!$E436</f>
        <v>4919.67</v>
      </c>
      <c r="O436" s="12" cm="1">
        <f t="array" ref="O436">_xlfn.IFS($K436="Website",$N436*0.05, $K436="Mobile App",$N436*0.05,TRUE,0)</f>
        <v>245.98350000000002</v>
      </c>
      <c r="P436" s="14" t="str">
        <f>IF(COUNTIF($G$2:G1011,G436)&gt;1,"Returning","New")</f>
        <v>New</v>
      </c>
      <c r="Q436" s="24" t="str">
        <f t="shared" si="6"/>
        <v>September</v>
      </c>
      <c r="R436" t="str">
        <v>New Arrival</v>
      </c>
    </row>
    <row r="437" spans="1:18" x14ac:dyDescent="0.25">
      <c r="A437" s="15" t="s">
        <v>38</v>
      </c>
      <c r="B437" s="16" t="str">
        <f>'Electronic Shop Sales Dataset'!$A437&amp;"-"&amp;'Electronic Shop Sales Dataset'!$C437</f>
        <v>P00007-Hard Disk</v>
      </c>
      <c r="C437" s="16" t="s">
        <v>97</v>
      </c>
      <c r="D437" s="17">
        <v>155.53</v>
      </c>
      <c r="E437" s="16">
        <v>3</v>
      </c>
      <c r="F437" s="16" t="s">
        <v>21</v>
      </c>
      <c r="G437" s="16" t="s">
        <v>656</v>
      </c>
      <c r="H437" s="16" t="s">
        <v>156</v>
      </c>
      <c r="I437" s="16">
        <v>41.125369999999997</v>
      </c>
      <c r="J437" s="16">
        <v>-98.268082000000007</v>
      </c>
      <c r="K437" s="16" t="s">
        <v>48</v>
      </c>
      <c r="L437" s="18">
        <v>45569</v>
      </c>
      <c r="M437" s="13">
        <f>DATEVALUE(TEXT(L437,"mm/dd/yy"))</f>
        <v>45569</v>
      </c>
      <c r="N437" s="17">
        <f>'Electronic Shop Sales Dataset'!$D437*'Electronic Shop Sales Dataset'!$E437</f>
        <v>466.59000000000003</v>
      </c>
      <c r="O437" s="12" cm="1">
        <f t="array" ref="O437">_xlfn.IFS($K437="Website",$N437*0.05, $K437="Mobile App",$N437*0.05,TRUE,0)</f>
        <v>23.329500000000003</v>
      </c>
      <c r="P437" s="14" t="str">
        <f>IF(COUNTIF($G$2:G1012,G437)&gt;1,"Returning","New")</f>
        <v>New</v>
      </c>
      <c r="Q437" s="24" t="str">
        <f t="shared" si="6"/>
        <v>October</v>
      </c>
      <c r="R437" t="str">
        <v>New Arrival</v>
      </c>
    </row>
    <row r="438" spans="1:18" x14ac:dyDescent="0.25">
      <c r="A438" s="10" t="s">
        <v>24</v>
      </c>
      <c r="B438" s="11" t="str">
        <f>'Electronic Shop Sales Dataset'!$A438&amp;"-"&amp;'Electronic Shop Sales Dataset'!$C438</f>
        <v>P00013-Camera</v>
      </c>
      <c r="C438" s="11" t="s">
        <v>46</v>
      </c>
      <c r="D438" s="12">
        <v>644.38</v>
      </c>
      <c r="E438" s="11">
        <v>4</v>
      </c>
      <c r="F438" s="11" t="s">
        <v>33</v>
      </c>
      <c r="G438" s="11" t="s">
        <v>657</v>
      </c>
      <c r="H438" s="11" t="s">
        <v>22</v>
      </c>
      <c r="I438" s="11">
        <v>32.741646000000003</v>
      </c>
      <c r="J438" s="11">
        <v>-89.678696000000002</v>
      </c>
      <c r="K438" s="11" t="s">
        <v>48</v>
      </c>
      <c r="L438" s="13">
        <v>45569</v>
      </c>
      <c r="M438" s="13">
        <f>DATEVALUE(TEXT(L438,"mm/dd/yy"))</f>
        <v>45569</v>
      </c>
      <c r="N438" s="12">
        <f>'Electronic Shop Sales Dataset'!$D438*'Electronic Shop Sales Dataset'!$E438</f>
        <v>2577.52</v>
      </c>
      <c r="O438" s="12" cm="1">
        <f t="array" ref="O438">_xlfn.IFS($K438="Website",$N438*0.05, $K438="Mobile App",$N438*0.05,TRUE,0)</f>
        <v>128.876</v>
      </c>
      <c r="P438" s="14" t="str">
        <f>IF(COUNTIF($G$2:G1013,G438)&gt;1,"Returning","New")</f>
        <v>New</v>
      </c>
      <c r="Q438" s="24" t="str">
        <f t="shared" si="6"/>
        <v>October</v>
      </c>
      <c r="R438" t="str">
        <v>New Arrival</v>
      </c>
    </row>
    <row r="439" spans="1:18" x14ac:dyDescent="0.25">
      <c r="A439" s="15" t="s">
        <v>28</v>
      </c>
      <c r="B439" s="16" t="str">
        <f>'Electronic Shop Sales Dataset'!$A439&amp;"-"&amp;'Electronic Shop Sales Dataset'!$C439</f>
        <v>P00006-Camera</v>
      </c>
      <c r="C439" s="16" t="s">
        <v>46</v>
      </c>
      <c r="D439" s="17">
        <v>1752.55</v>
      </c>
      <c r="E439" s="16">
        <v>5</v>
      </c>
      <c r="F439" s="16" t="s">
        <v>13</v>
      </c>
      <c r="G439" s="16" t="s">
        <v>658</v>
      </c>
      <c r="H439" s="16" t="s">
        <v>112</v>
      </c>
      <c r="I439" s="16">
        <v>39.063946000000001</v>
      </c>
      <c r="J439" s="16">
        <v>-76.802100999999993</v>
      </c>
      <c r="K439" s="16" t="s">
        <v>48</v>
      </c>
      <c r="L439" s="18">
        <v>45569</v>
      </c>
      <c r="M439" s="13">
        <f>DATEVALUE(TEXT(L439,"mm/dd/yy"))</f>
        <v>45569</v>
      </c>
      <c r="N439" s="17">
        <f>'Electronic Shop Sales Dataset'!$D439*'Electronic Shop Sales Dataset'!$E439</f>
        <v>8762.75</v>
      </c>
      <c r="O439" s="12" cm="1">
        <f t="array" ref="O439">_xlfn.IFS($K439="Website",$N439*0.05, $K439="Mobile App",$N439*0.05,TRUE,0)</f>
        <v>438.13750000000005</v>
      </c>
      <c r="P439" s="14" t="str">
        <f>IF(COUNTIF($G$2:G1014,G439)&gt;1,"Returning","New")</f>
        <v>New</v>
      </c>
      <c r="Q439" s="24" t="str">
        <f t="shared" si="6"/>
        <v>October</v>
      </c>
      <c r="R439" t="str">
        <v>New Arrival</v>
      </c>
    </row>
    <row r="440" spans="1:18" x14ac:dyDescent="0.25">
      <c r="A440" s="10" t="s">
        <v>60</v>
      </c>
      <c r="B440" s="11" t="str">
        <f>'Electronic Shop Sales Dataset'!$A440&amp;"-"&amp;'Electronic Shop Sales Dataset'!$C440</f>
        <v>P00015-Printer</v>
      </c>
      <c r="C440" s="11" t="s">
        <v>52</v>
      </c>
      <c r="D440" s="12">
        <v>210.95</v>
      </c>
      <c r="E440" s="11">
        <v>5</v>
      </c>
      <c r="F440" s="11" t="s">
        <v>43</v>
      </c>
      <c r="G440" s="11" t="s">
        <v>659</v>
      </c>
      <c r="H440" s="11" t="s">
        <v>40</v>
      </c>
      <c r="I440" s="11">
        <v>44.572020999999999</v>
      </c>
      <c r="J440" s="11">
        <v>-122.070938</v>
      </c>
      <c r="K440" s="11" t="s">
        <v>27</v>
      </c>
      <c r="L440" s="13">
        <v>45573</v>
      </c>
      <c r="M440" s="13">
        <f>DATEVALUE(TEXT(L440,"mm/dd/yy"))</f>
        <v>45573</v>
      </c>
      <c r="N440" s="12">
        <f>'Electronic Shop Sales Dataset'!$D440*'Electronic Shop Sales Dataset'!$E440</f>
        <v>1054.75</v>
      </c>
      <c r="O440" s="12" cm="1">
        <f t="array" ref="O440">_xlfn.IFS($K440="Website",$N440*0.05, $K440="Mobile App",$N440*0.05,TRUE,0)</f>
        <v>0</v>
      </c>
      <c r="P440" s="14" t="str">
        <f>IF(COUNTIF($G$2:G1015,G440)&gt;1,"Returning","New")</f>
        <v>New</v>
      </c>
      <c r="Q440" s="24" t="str">
        <f t="shared" si="6"/>
        <v>October</v>
      </c>
      <c r="R440" t="str">
        <v>New Arrival</v>
      </c>
    </row>
    <row r="441" spans="1:18" x14ac:dyDescent="0.25">
      <c r="A441" s="15" t="s">
        <v>79</v>
      </c>
      <c r="B441" s="16" t="str">
        <f>'Electronic Shop Sales Dataset'!$A441&amp;"-"&amp;'Electronic Shop Sales Dataset'!$C441</f>
        <v>P00012-Smartwatch</v>
      </c>
      <c r="C441" s="16" t="s">
        <v>62</v>
      </c>
      <c r="D441" s="17">
        <v>166.06</v>
      </c>
      <c r="E441" s="16">
        <v>3</v>
      </c>
      <c r="F441" s="16" t="s">
        <v>21</v>
      </c>
      <c r="G441" s="16" t="s">
        <v>660</v>
      </c>
      <c r="H441" s="16" t="s">
        <v>110</v>
      </c>
      <c r="I441" s="16">
        <v>33.040619</v>
      </c>
      <c r="J441" s="16">
        <v>-83.643073999999999</v>
      </c>
      <c r="K441" s="16" t="s">
        <v>27</v>
      </c>
      <c r="L441" s="18">
        <v>45576</v>
      </c>
      <c r="M441" s="13">
        <f>DATEVALUE(TEXT(L441,"mm/dd/yy"))</f>
        <v>45576</v>
      </c>
      <c r="N441" s="17">
        <f>'Electronic Shop Sales Dataset'!$D441*'Electronic Shop Sales Dataset'!$E441</f>
        <v>498.18</v>
      </c>
      <c r="O441" s="12" cm="1">
        <f t="array" ref="O441">_xlfn.IFS($K441="Website",$N441*0.05, $K441="Mobile App",$N441*0.05,TRUE,0)</f>
        <v>0</v>
      </c>
      <c r="P441" s="14" t="str">
        <f>IF(COUNTIF($G$2:G1016,G441)&gt;1,"Returning","New")</f>
        <v>New</v>
      </c>
      <c r="Q441" s="24" t="str">
        <f t="shared" si="6"/>
        <v>October</v>
      </c>
      <c r="R441" t="str">
        <v>New Arrival</v>
      </c>
    </row>
    <row r="442" spans="1:18" x14ac:dyDescent="0.25">
      <c r="A442" s="10" t="s">
        <v>28</v>
      </c>
      <c r="B442" s="11" t="str">
        <f>'Electronic Shop Sales Dataset'!$A442&amp;"-"&amp;'Electronic Shop Sales Dataset'!$C442</f>
        <v>P00006-Router</v>
      </c>
      <c r="C442" s="11" t="s">
        <v>39</v>
      </c>
      <c r="D442" s="12">
        <v>268.77999999999997</v>
      </c>
      <c r="E442" s="11">
        <v>3</v>
      </c>
      <c r="F442" s="11" t="s">
        <v>33</v>
      </c>
      <c r="G442" s="11" t="s">
        <v>661</v>
      </c>
      <c r="H442" s="11" t="s">
        <v>96</v>
      </c>
      <c r="I442" s="11">
        <v>42.011538999999999</v>
      </c>
      <c r="J442" s="11">
        <v>-93.210526000000002</v>
      </c>
      <c r="K442" s="11" t="s">
        <v>23</v>
      </c>
      <c r="L442" s="13">
        <v>45577</v>
      </c>
      <c r="M442" s="13">
        <f>DATEVALUE(TEXT(L442,"mm/dd/yy"))</f>
        <v>45577</v>
      </c>
      <c r="N442" s="12">
        <f>'Electronic Shop Sales Dataset'!$D442*'Electronic Shop Sales Dataset'!$E442</f>
        <v>806.33999999999992</v>
      </c>
      <c r="O442" s="12" cm="1">
        <f t="array" ref="O442">_xlfn.IFS($K442="Website",$N442*0.05, $K442="Mobile App",$N442*0.05,TRUE,0)</f>
        <v>0</v>
      </c>
      <c r="P442" s="14" t="str">
        <f>IF(COUNTIF($G$2:G1017,G442)&gt;1,"Returning","New")</f>
        <v>New</v>
      </c>
      <c r="Q442" s="24" t="str">
        <f t="shared" si="6"/>
        <v>October</v>
      </c>
      <c r="R442" t="str">
        <v>New Arrival</v>
      </c>
    </row>
    <row r="443" spans="1:18" x14ac:dyDescent="0.25">
      <c r="A443" s="15" t="s">
        <v>24</v>
      </c>
      <c r="B443" s="16" t="str">
        <f>'Electronic Shop Sales Dataset'!$A443&amp;"-"&amp;'Electronic Shop Sales Dataset'!$C443</f>
        <v>P00013-VR Headset</v>
      </c>
      <c r="C443" s="16" t="s">
        <v>72</v>
      </c>
      <c r="D443" s="17">
        <v>543.34</v>
      </c>
      <c r="E443" s="16">
        <v>1</v>
      </c>
      <c r="F443" s="16" t="s">
        <v>13</v>
      </c>
      <c r="G443" s="16" t="s">
        <v>662</v>
      </c>
      <c r="H443" s="16" t="s">
        <v>87</v>
      </c>
      <c r="I443" s="16">
        <v>33.729759000000001</v>
      </c>
      <c r="J443" s="16">
        <v>-111.43122099999999</v>
      </c>
      <c r="K443" s="16" t="s">
        <v>27</v>
      </c>
      <c r="L443" s="18">
        <v>45578</v>
      </c>
      <c r="M443" s="13">
        <f>DATEVALUE(TEXT(L443,"mm/dd/yy"))</f>
        <v>45578</v>
      </c>
      <c r="N443" s="17">
        <f>'Electronic Shop Sales Dataset'!$D443*'Electronic Shop Sales Dataset'!$E443</f>
        <v>543.34</v>
      </c>
      <c r="O443" s="12" cm="1">
        <f t="array" ref="O443">_xlfn.IFS($K443="Website",$N443*0.05, $K443="Mobile App",$N443*0.05,TRUE,0)</f>
        <v>0</v>
      </c>
      <c r="P443" s="14" t="str">
        <f>IF(COUNTIF($G$2:G1018,G443)&gt;1,"Returning","New")</f>
        <v>New</v>
      </c>
      <c r="Q443" s="24" t="str">
        <f t="shared" si="6"/>
        <v>October</v>
      </c>
      <c r="R443" t="str">
        <v>New Arrival</v>
      </c>
    </row>
    <row r="444" spans="1:18" x14ac:dyDescent="0.25">
      <c r="A444" s="10" t="s">
        <v>16</v>
      </c>
      <c r="B444" s="11" t="str">
        <f>'Electronic Shop Sales Dataset'!$A444&amp;"-"&amp;'Electronic Shop Sales Dataset'!$C444</f>
        <v>P00010-Projector</v>
      </c>
      <c r="C444" s="11" t="s">
        <v>65</v>
      </c>
      <c r="D444" s="12">
        <v>311.64</v>
      </c>
      <c r="E444" s="11">
        <v>4</v>
      </c>
      <c r="F444" s="11" t="s">
        <v>33</v>
      </c>
      <c r="G444" s="11" t="s">
        <v>202</v>
      </c>
      <c r="H444" s="11" t="s">
        <v>94</v>
      </c>
      <c r="I444" s="11">
        <v>41.597782000000002</v>
      </c>
      <c r="J444" s="11">
        <v>-72.755370999999997</v>
      </c>
      <c r="K444" s="11" t="s">
        <v>48</v>
      </c>
      <c r="L444" s="13">
        <v>45578</v>
      </c>
      <c r="M444" s="13">
        <f>DATEVALUE(TEXT(L444,"mm/dd/yy"))</f>
        <v>45578</v>
      </c>
      <c r="N444" s="12">
        <f>'Electronic Shop Sales Dataset'!$D444*'Electronic Shop Sales Dataset'!$E444</f>
        <v>1246.56</v>
      </c>
      <c r="O444" s="12" cm="1">
        <f t="array" ref="O444">_xlfn.IFS($K444="Website",$N444*0.05, $K444="Mobile App",$N444*0.05,TRUE,0)</f>
        <v>62.328000000000003</v>
      </c>
      <c r="P444" s="14" t="str">
        <f>IF(COUNTIF($G$2:G1019,G444)&gt;1,"Returning","New")</f>
        <v>New</v>
      </c>
      <c r="Q444" s="24" t="str">
        <f t="shared" si="6"/>
        <v>October</v>
      </c>
      <c r="R444" t="str">
        <v>New Arrival</v>
      </c>
    </row>
    <row r="445" spans="1:18" x14ac:dyDescent="0.25">
      <c r="A445" s="15" t="s">
        <v>58</v>
      </c>
      <c r="B445" s="16" t="str">
        <f>'Electronic Shop Sales Dataset'!$A445&amp;"-"&amp;'Electronic Shop Sales Dataset'!$C445</f>
        <v>P00009-Scanner</v>
      </c>
      <c r="C445" s="16" t="s">
        <v>71</v>
      </c>
      <c r="D445" s="17">
        <v>231.91</v>
      </c>
      <c r="E445" s="16">
        <v>5</v>
      </c>
      <c r="F445" s="16" t="s">
        <v>43</v>
      </c>
      <c r="G445" s="16" t="s">
        <v>663</v>
      </c>
      <c r="H445" s="16" t="s">
        <v>115</v>
      </c>
      <c r="I445" s="16">
        <v>38.456085000000002</v>
      </c>
      <c r="J445" s="16">
        <v>-92.288368000000006</v>
      </c>
      <c r="K445" s="16" t="s">
        <v>27</v>
      </c>
      <c r="L445" s="18">
        <v>45579</v>
      </c>
      <c r="M445" s="13">
        <f>DATEVALUE(TEXT(L445,"mm/dd/yy"))</f>
        <v>45579</v>
      </c>
      <c r="N445" s="17">
        <f>'Electronic Shop Sales Dataset'!$D445*'Electronic Shop Sales Dataset'!$E445</f>
        <v>1159.55</v>
      </c>
      <c r="O445" s="12" cm="1">
        <f t="array" ref="O445">_xlfn.IFS($K445="Website",$N445*0.05, $K445="Mobile App",$N445*0.05,TRUE,0)</f>
        <v>0</v>
      </c>
      <c r="P445" s="14" t="str">
        <f>IF(COUNTIF($G$2:G1020,G445)&gt;1,"Returning","New")</f>
        <v>New</v>
      </c>
      <c r="Q445" s="24" t="str">
        <f t="shared" si="6"/>
        <v>October</v>
      </c>
      <c r="R445" t="str">
        <v>New Arrival</v>
      </c>
    </row>
    <row r="446" spans="1:18" x14ac:dyDescent="0.25">
      <c r="A446" s="10" t="s">
        <v>60</v>
      </c>
      <c r="B446" s="11" t="str">
        <f>'Electronic Shop Sales Dataset'!$A446&amp;"-"&amp;'Electronic Shop Sales Dataset'!$C446</f>
        <v>P00015-Graphics Card</v>
      </c>
      <c r="C446" s="11" t="s">
        <v>125</v>
      </c>
      <c r="D446" s="12">
        <v>309.2</v>
      </c>
      <c r="E446" s="11">
        <v>1</v>
      </c>
      <c r="F446" s="11" t="s">
        <v>33</v>
      </c>
      <c r="G446" s="11" t="s">
        <v>664</v>
      </c>
      <c r="H446" s="11" t="s">
        <v>18</v>
      </c>
      <c r="I446" s="11">
        <v>47.528911999999998</v>
      </c>
      <c r="J446" s="11">
        <v>-99.784012000000004</v>
      </c>
      <c r="K446" s="11" t="s">
        <v>48</v>
      </c>
      <c r="L446" s="13">
        <v>45579</v>
      </c>
      <c r="M446" s="13">
        <f>DATEVALUE(TEXT(L446,"mm/dd/yy"))</f>
        <v>45579</v>
      </c>
      <c r="N446" s="12">
        <f>'Electronic Shop Sales Dataset'!$D446*'Electronic Shop Sales Dataset'!$E446</f>
        <v>309.2</v>
      </c>
      <c r="O446" s="12" cm="1">
        <f t="array" ref="O446">_xlfn.IFS($K446="Website",$N446*0.05, $K446="Mobile App",$N446*0.05,TRUE,0)</f>
        <v>15.46</v>
      </c>
      <c r="P446" s="14" t="str">
        <f>IF(COUNTIF($G$2:G1021,G446)&gt;1,"Returning","New")</f>
        <v>New</v>
      </c>
      <c r="Q446" s="24" t="str">
        <f t="shared" si="6"/>
        <v>October</v>
      </c>
      <c r="R446" t="str">
        <v>New Arrival</v>
      </c>
    </row>
    <row r="447" spans="1:18" x14ac:dyDescent="0.25">
      <c r="A447" s="15" t="s">
        <v>19</v>
      </c>
      <c r="B447" s="16" t="str">
        <f>'Electronic Shop Sales Dataset'!$A447&amp;"-"&amp;'Electronic Shop Sales Dataset'!$C447</f>
        <v>P00003-VR Headset</v>
      </c>
      <c r="C447" s="16" t="s">
        <v>72</v>
      </c>
      <c r="D447" s="17">
        <v>808.68</v>
      </c>
      <c r="E447" s="16">
        <v>3</v>
      </c>
      <c r="F447" s="16" t="s">
        <v>13</v>
      </c>
      <c r="G447" s="16" t="s">
        <v>665</v>
      </c>
      <c r="H447" s="16" t="s">
        <v>94</v>
      </c>
      <c r="I447" s="16">
        <v>41.597782000000002</v>
      </c>
      <c r="J447" s="16">
        <v>-72.755370999999997</v>
      </c>
      <c r="K447" s="16" t="s">
        <v>54</v>
      </c>
      <c r="L447" s="18">
        <v>45579</v>
      </c>
      <c r="M447" s="13">
        <f>DATEVALUE(TEXT(L447,"mm/dd/yy"))</f>
        <v>45579</v>
      </c>
      <c r="N447" s="17">
        <f>'Electronic Shop Sales Dataset'!$D447*'Electronic Shop Sales Dataset'!$E447</f>
        <v>2426.04</v>
      </c>
      <c r="O447" s="12" cm="1">
        <f t="array" ref="O447">_xlfn.IFS($K447="Website",$N447*0.05, $K447="Mobile App",$N447*0.05,TRUE,0)</f>
        <v>121.30200000000001</v>
      </c>
      <c r="P447" s="14" t="str">
        <f>IF(COUNTIF($G$2:G1022,G447)&gt;1,"Returning","New")</f>
        <v>New</v>
      </c>
      <c r="Q447" s="24" t="str">
        <f t="shared" si="6"/>
        <v>October</v>
      </c>
      <c r="R447" t="str">
        <v>New Arrival</v>
      </c>
    </row>
    <row r="448" spans="1:18" x14ac:dyDescent="0.25">
      <c r="A448" s="10" t="s">
        <v>117</v>
      </c>
      <c r="B448" s="11" t="str">
        <f>'Electronic Shop Sales Dataset'!$A448&amp;"-"&amp;'Electronic Shop Sales Dataset'!$C448</f>
        <v>P00016-Mouse</v>
      </c>
      <c r="C448" s="11" t="s">
        <v>95</v>
      </c>
      <c r="D448" s="12">
        <v>45.16</v>
      </c>
      <c r="E448" s="11">
        <v>5</v>
      </c>
      <c r="F448" s="11" t="s">
        <v>33</v>
      </c>
      <c r="G448" s="11" t="s">
        <v>666</v>
      </c>
      <c r="H448" s="11" t="s">
        <v>110</v>
      </c>
      <c r="I448" s="11">
        <v>33.040619</v>
      </c>
      <c r="J448" s="11">
        <v>-83.643073999999999</v>
      </c>
      <c r="K448" s="11" t="s">
        <v>48</v>
      </c>
      <c r="L448" s="13">
        <v>45580</v>
      </c>
      <c r="M448" s="13">
        <f>DATEVALUE(TEXT(L448,"mm/dd/yy"))</f>
        <v>45580</v>
      </c>
      <c r="N448" s="12">
        <f>'Electronic Shop Sales Dataset'!$D448*'Electronic Shop Sales Dataset'!$E448</f>
        <v>225.79999999999998</v>
      </c>
      <c r="O448" s="12" cm="1">
        <f t="array" ref="O448">_xlfn.IFS($K448="Website",$N448*0.05, $K448="Mobile App",$N448*0.05,TRUE,0)</f>
        <v>11.29</v>
      </c>
      <c r="P448" s="14" t="str">
        <f>IF(COUNTIF($G$2:G1023,G448)&gt;1,"Returning","New")</f>
        <v>New</v>
      </c>
      <c r="Q448" s="24" t="str">
        <f t="shared" si="6"/>
        <v>October</v>
      </c>
      <c r="R448" t="str">
        <v>New Arrival</v>
      </c>
    </row>
    <row r="449" spans="1:18" x14ac:dyDescent="0.25">
      <c r="A449" s="15" t="s">
        <v>117</v>
      </c>
      <c r="B449" s="16" t="str">
        <f>'Electronic Shop Sales Dataset'!$A449&amp;"-"&amp;'Electronic Shop Sales Dataset'!$C449</f>
        <v>P00016-Scanner</v>
      </c>
      <c r="C449" s="16" t="s">
        <v>71</v>
      </c>
      <c r="D449" s="17">
        <v>192.24</v>
      </c>
      <c r="E449" s="16">
        <v>4</v>
      </c>
      <c r="F449" s="16" t="s">
        <v>33</v>
      </c>
      <c r="G449" s="16" t="s">
        <v>667</v>
      </c>
      <c r="H449" s="16" t="s">
        <v>112</v>
      </c>
      <c r="I449" s="16">
        <v>39.063946000000001</v>
      </c>
      <c r="J449" s="16">
        <v>-76.802100999999993</v>
      </c>
      <c r="K449" s="16" t="s">
        <v>48</v>
      </c>
      <c r="L449" s="18">
        <v>45580</v>
      </c>
      <c r="M449" s="13">
        <f>DATEVALUE(TEXT(L449,"mm/dd/yy"))</f>
        <v>45580</v>
      </c>
      <c r="N449" s="17">
        <f>'Electronic Shop Sales Dataset'!$D449*'Electronic Shop Sales Dataset'!$E449</f>
        <v>768.96</v>
      </c>
      <c r="O449" s="12" cm="1">
        <f t="array" ref="O449">_xlfn.IFS($K449="Website",$N449*0.05, $K449="Mobile App",$N449*0.05,TRUE,0)</f>
        <v>38.448000000000008</v>
      </c>
      <c r="P449" s="14" t="str">
        <f>IF(COUNTIF($G$2:G1024,G449)&gt;1,"Returning","New")</f>
        <v>New</v>
      </c>
      <c r="Q449" s="24" t="str">
        <f t="shared" si="6"/>
        <v>October</v>
      </c>
      <c r="R449" t="str">
        <v>New Arrival</v>
      </c>
    </row>
    <row r="450" spans="1:18" x14ac:dyDescent="0.25">
      <c r="A450" s="10" t="s">
        <v>88</v>
      </c>
      <c r="B450" s="11" t="str">
        <f>'Electronic Shop Sales Dataset'!$A450&amp;"-"&amp;'Electronic Shop Sales Dataset'!$C450</f>
        <v>P00018-Smartphone</v>
      </c>
      <c r="C450" s="11" t="s">
        <v>12</v>
      </c>
      <c r="D450" s="12">
        <v>358.34</v>
      </c>
      <c r="E450" s="11">
        <v>3</v>
      </c>
      <c r="F450" s="11" t="s">
        <v>33</v>
      </c>
      <c r="G450" s="11" t="s">
        <v>668</v>
      </c>
      <c r="H450" s="11" t="s">
        <v>132</v>
      </c>
      <c r="I450" s="11">
        <v>27.766279000000001</v>
      </c>
      <c r="J450" s="11">
        <v>-81.686783000000005</v>
      </c>
      <c r="K450" s="11" t="s">
        <v>27</v>
      </c>
      <c r="L450" s="13">
        <v>45583</v>
      </c>
      <c r="M450" s="13">
        <f>DATEVALUE(TEXT(L450,"mm/dd/yy"))</f>
        <v>45583</v>
      </c>
      <c r="N450" s="12">
        <f>'Electronic Shop Sales Dataset'!$D450*'Electronic Shop Sales Dataset'!$E450</f>
        <v>1075.02</v>
      </c>
      <c r="O450" s="12" cm="1">
        <f t="array" ref="O450">_xlfn.IFS($K450="Website",$N450*0.05, $K450="Mobile App",$N450*0.05,TRUE,0)</f>
        <v>0</v>
      </c>
      <c r="P450" s="14" t="str">
        <f>IF(COUNTIF($G$2:G1025,G450)&gt;1,"Returning","New")</f>
        <v>New</v>
      </c>
      <c r="Q450" s="24" t="str">
        <f t="shared" si="6"/>
        <v>October</v>
      </c>
      <c r="R450" t="str">
        <v>New Arrival</v>
      </c>
    </row>
    <row r="451" spans="1:18" x14ac:dyDescent="0.25">
      <c r="A451" s="15" t="s">
        <v>31</v>
      </c>
      <c r="B451" s="16" t="str">
        <f>'Electronic Shop Sales Dataset'!$A451&amp;"-"&amp;'Electronic Shop Sales Dataset'!$C451</f>
        <v>P00022-Smartphone</v>
      </c>
      <c r="C451" s="16" t="s">
        <v>12</v>
      </c>
      <c r="D451" s="17">
        <v>846.52</v>
      </c>
      <c r="E451" s="16">
        <v>4</v>
      </c>
      <c r="F451" s="16" t="s">
        <v>21</v>
      </c>
      <c r="G451" s="16" t="s">
        <v>669</v>
      </c>
      <c r="H451" s="16" t="s">
        <v>110</v>
      </c>
      <c r="I451" s="16">
        <v>33.040619</v>
      </c>
      <c r="J451" s="16">
        <v>-83.643073999999999</v>
      </c>
      <c r="K451" s="16" t="s">
        <v>54</v>
      </c>
      <c r="L451" s="18">
        <v>45583</v>
      </c>
      <c r="M451" s="13">
        <f>DATEVALUE(TEXT(L451,"mm/dd/yy"))</f>
        <v>45583</v>
      </c>
      <c r="N451" s="17">
        <f>'Electronic Shop Sales Dataset'!$D451*'Electronic Shop Sales Dataset'!$E451</f>
        <v>3386.08</v>
      </c>
      <c r="O451" s="12" cm="1">
        <f t="array" ref="O451">_xlfn.IFS($K451="Website",$N451*0.05, $K451="Mobile App",$N451*0.05,TRUE,0)</f>
        <v>169.304</v>
      </c>
      <c r="P451" s="14" t="str">
        <f>IF(COUNTIF($G$2:G1026,G451)&gt;1,"Returning","New")</f>
        <v>New</v>
      </c>
      <c r="Q451" s="24" t="str">
        <f t="shared" ref="Q451:Q514" si="7">TEXT(M451,"mmmm")</f>
        <v>October</v>
      </c>
      <c r="R451" t="str">
        <v>New Arrival</v>
      </c>
    </row>
    <row r="452" spans="1:18" x14ac:dyDescent="0.25">
      <c r="A452" s="10" t="s">
        <v>41</v>
      </c>
      <c r="B452" s="11" t="str">
        <f>'Electronic Shop Sales Dataset'!$A452&amp;"-"&amp;'Electronic Shop Sales Dataset'!$C452</f>
        <v>P00024-Smart TV</v>
      </c>
      <c r="C452" s="11" t="s">
        <v>74</v>
      </c>
      <c r="D452" s="12">
        <v>1731.4</v>
      </c>
      <c r="E452" s="11">
        <v>2</v>
      </c>
      <c r="F452" s="11" t="s">
        <v>43</v>
      </c>
      <c r="G452" s="11" t="s">
        <v>168</v>
      </c>
      <c r="H452" s="11" t="s">
        <v>91</v>
      </c>
      <c r="I452" s="11">
        <v>38.313515000000002</v>
      </c>
      <c r="J452" s="11">
        <v>-117.055374</v>
      </c>
      <c r="K452" s="11" t="s">
        <v>48</v>
      </c>
      <c r="L452" s="13">
        <v>45584</v>
      </c>
      <c r="M452" s="13">
        <f>DATEVALUE(TEXT(L452,"mm/dd/yy"))</f>
        <v>45584</v>
      </c>
      <c r="N452" s="12">
        <f>'Electronic Shop Sales Dataset'!$D452*'Electronic Shop Sales Dataset'!$E452</f>
        <v>3462.8</v>
      </c>
      <c r="O452" s="12" cm="1">
        <f t="array" ref="O452">_xlfn.IFS($K452="Website",$N452*0.05, $K452="Mobile App",$N452*0.05,TRUE,0)</f>
        <v>173.14000000000001</v>
      </c>
      <c r="P452" s="14" t="str">
        <f>IF(COUNTIF($G$2:G1027,G452)&gt;1,"Returning","New")</f>
        <v>New</v>
      </c>
      <c r="Q452" s="24" t="str">
        <f t="shared" si="7"/>
        <v>October</v>
      </c>
      <c r="R452" t="str">
        <v>New Arrival</v>
      </c>
    </row>
    <row r="453" spans="1:18" x14ac:dyDescent="0.25">
      <c r="A453" s="15" t="s">
        <v>58</v>
      </c>
      <c r="B453" s="16" t="str">
        <f>'Electronic Shop Sales Dataset'!$A453&amp;"-"&amp;'Electronic Shop Sales Dataset'!$C453</f>
        <v>P00009-Power Bank</v>
      </c>
      <c r="C453" s="16" t="s">
        <v>124</v>
      </c>
      <c r="D453" s="17">
        <v>53.13</v>
      </c>
      <c r="E453" s="16">
        <v>2</v>
      </c>
      <c r="F453" s="16" t="s">
        <v>21</v>
      </c>
      <c r="G453" s="16" t="s">
        <v>670</v>
      </c>
      <c r="H453" s="16" t="s">
        <v>120</v>
      </c>
      <c r="I453" s="16">
        <v>40.349457000000001</v>
      </c>
      <c r="J453" s="16">
        <v>-88.986136999999999</v>
      </c>
      <c r="K453" s="16" t="s">
        <v>48</v>
      </c>
      <c r="L453" s="18">
        <v>45586</v>
      </c>
      <c r="M453" s="13">
        <f>DATEVALUE(TEXT(L453,"mm/dd/yy"))</f>
        <v>45586</v>
      </c>
      <c r="N453" s="17">
        <f>'Electronic Shop Sales Dataset'!$D453*'Electronic Shop Sales Dataset'!$E453</f>
        <v>106.26</v>
      </c>
      <c r="O453" s="12" cm="1">
        <f t="array" ref="O453">_xlfn.IFS($K453="Website",$N453*0.05, $K453="Mobile App",$N453*0.05,TRUE,0)</f>
        <v>5.3130000000000006</v>
      </c>
      <c r="P453" s="14" t="str">
        <f>IF(COUNTIF($G$2:G1028,G453)&gt;1,"Returning","New")</f>
        <v>New</v>
      </c>
      <c r="Q453" s="24" t="str">
        <f t="shared" si="7"/>
        <v>October</v>
      </c>
      <c r="R453" t="str">
        <v>New Arrival</v>
      </c>
    </row>
    <row r="454" spans="1:18" x14ac:dyDescent="0.25">
      <c r="A454" s="10" t="s">
        <v>51</v>
      </c>
      <c r="B454" s="11" t="str">
        <f>'Electronic Shop Sales Dataset'!$A454&amp;"-"&amp;'Electronic Shop Sales Dataset'!$C454</f>
        <v>P00017-Tablet</v>
      </c>
      <c r="C454" s="11" t="s">
        <v>83</v>
      </c>
      <c r="D454" s="12">
        <v>677.23</v>
      </c>
      <c r="E454" s="11">
        <v>1</v>
      </c>
      <c r="F454" s="11" t="s">
        <v>43</v>
      </c>
      <c r="G454" s="11" t="s">
        <v>671</v>
      </c>
      <c r="H454" s="11" t="s">
        <v>146</v>
      </c>
      <c r="I454" s="11">
        <v>40.590752000000002</v>
      </c>
      <c r="J454" s="11">
        <v>-77.209755000000001</v>
      </c>
      <c r="K454" s="11" t="s">
        <v>27</v>
      </c>
      <c r="L454" s="13">
        <v>45587</v>
      </c>
      <c r="M454" s="13">
        <f>DATEVALUE(TEXT(L454,"mm/dd/yy"))</f>
        <v>45587</v>
      </c>
      <c r="N454" s="12">
        <f>'Electronic Shop Sales Dataset'!$D454*'Electronic Shop Sales Dataset'!$E454</f>
        <v>677.23</v>
      </c>
      <c r="O454" s="12" cm="1">
        <f t="array" ref="O454">_xlfn.IFS($K454="Website",$N454*0.05, $K454="Mobile App",$N454*0.05,TRUE,0)</f>
        <v>0</v>
      </c>
      <c r="P454" s="14" t="str">
        <f>IF(COUNTIF($G$2:G1029,G454)&gt;1,"Returning","New")</f>
        <v>New</v>
      </c>
      <c r="Q454" s="24" t="str">
        <f t="shared" si="7"/>
        <v>October</v>
      </c>
      <c r="R454" t="str">
        <v>New Arrival</v>
      </c>
    </row>
    <row r="455" spans="1:18" x14ac:dyDescent="0.25">
      <c r="A455" s="15" t="s">
        <v>35</v>
      </c>
      <c r="B455" s="16" t="str">
        <f>'Electronic Shop Sales Dataset'!$A455&amp;"-"&amp;'Electronic Shop Sales Dataset'!$C455</f>
        <v>P00008-Gaming Console</v>
      </c>
      <c r="C455" s="16" t="s">
        <v>17</v>
      </c>
      <c r="D455" s="17">
        <v>652.58000000000004</v>
      </c>
      <c r="E455" s="16">
        <v>4</v>
      </c>
      <c r="F455" s="16" t="s">
        <v>33</v>
      </c>
      <c r="G455" s="16" t="s">
        <v>672</v>
      </c>
      <c r="H455" s="16" t="s">
        <v>100</v>
      </c>
      <c r="I455" s="16">
        <v>45.694454</v>
      </c>
      <c r="J455" s="16">
        <v>-93.900192000000004</v>
      </c>
      <c r="K455" s="16" t="s">
        <v>48</v>
      </c>
      <c r="L455" s="18">
        <v>45587</v>
      </c>
      <c r="M455" s="13">
        <f>DATEVALUE(TEXT(L455,"mm/dd/yy"))</f>
        <v>45587</v>
      </c>
      <c r="N455" s="17">
        <f>'Electronic Shop Sales Dataset'!$D455*'Electronic Shop Sales Dataset'!$E455</f>
        <v>2610.3200000000002</v>
      </c>
      <c r="O455" s="12" cm="1">
        <f t="array" ref="O455">_xlfn.IFS($K455="Website",$N455*0.05, $K455="Mobile App",$N455*0.05,TRUE,0)</f>
        <v>130.51600000000002</v>
      </c>
      <c r="P455" s="14" t="str">
        <f>IF(COUNTIF($G$2:G1030,G455)&gt;1,"Returning","New")</f>
        <v>New</v>
      </c>
      <c r="Q455" s="24" t="str">
        <f t="shared" si="7"/>
        <v>October</v>
      </c>
      <c r="R455" t="str">
        <v>New Arrival</v>
      </c>
    </row>
    <row r="456" spans="1:18" x14ac:dyDescent="0.25">
      <c r="A456" s="10" t="s">
        <v>41</v>
      </c>
      <c r="B456" s="11" t="str">
        <f>'Electronic Shop Sales Dataset'!$A456&amp;"-"&amp;'Electronic Shop Sales Dataset'!$C456</f>
        <v>P00024-Keyboard</v>
      </c>
      <c r="C456" s="11" t="s">
        <v>29</v>
      </c>
      <c r="D456" s="12">
        <v>102.53</v>
      </c>
      <c r="E456" s="11">
        <v>5</v>
      </c>
      <c r="F456" s="11" t="s">
        <v>43</v>
      </c>
      <c r="G456" s="11" t="s">
        <v>673</v>
      </c>
      <c r="H456" s="11" t="s">
        <v>94</v>
      </c>
      <c r="I456" s="11">
        <v>41.597782000000002</v>
      </c>
      <c r="J456" s="11">
        <v>-72.755370999999997</v>
      </c>
      <c r="K456" s="11" t="s">
        <v>27</v>
      </c>
      <c r="L456" s="13">
        <v>45592</v>
      </c>
      <c r="M456" s="13">
        <f>DATEVALUE(TEXT(L456,"mm/dd/yy"))</f>
        <v>45592</v>
      </c>
      <c r="N456" s="12">
        <f>'Electronic Shop Sales Dataset'!$D456*'Electronic Shop Sales Dataset'!$E456</f>
        <v>512.65</v>
      </c>
      <c r="O456" s="12" cm="1">
        <f t="array" ref="O456">_xlfn.IFS($K456="Website",$N456*0.05, $K456="Mobile App",$N456*0.05,TRUE,0)</f>
        <v>0</v>
      </c>
      <c r="P456" s="14" t="str">
        <f>IF(COUNTIF($G$2:G1031,G456)&gt;1,"Returning","New")</f>
        <v>Returning</v>
      </c>
      <c r="Q456" s="24" t="str">
        <f t="shared" si="7"/>
        <v>October</v>
      </c>
      <c r="R456" t="str">
        <v>New Arrival</v>
      </c>
    </row>
    <row r="457" spans="1:18" x14ac:dyDescent="0.25">
      <c r="A457" s="15" t="s">
        <v>84</v>
      </c>
      <c r="B457" s="16" t="str">
        <f>'Electronic Shop Sales Dataset'!$A457&amp;"-"&amp;'Electronic Shop Sales Dataset'!$C457</f>
        <v>P00020-Projector</v>
      </c>
      <c r="C457" s="16" t="s">
        <v>65</v>
      </c>
      <c r="D457" s="17">
        <v>254.55</v>
      </c>
      <c r="E457" s="16">
        <v>2</v>
      </c>
      <c r="F457" s="16" t="s">
        <v>13</v>
      </c>
      <c r="G457" s="16" t="s">
        <v>673</v>
      </c>
      <c r="H457" s="16" t="s">
        <v>18</v>
      </c>
      <c r="I457" s="16">
        <v>47.528911999999998</v>
      </c>
      <c r="J457" s="16">
        <v>-99.784012000000004</v>
      </c>
      <c r="K457" s="16" t="s">
        <v>15</v>
      </c>
      <c r="L457" s="18">
        <v>45594</v>
      </c>
      <c r="M457" s="13">
        <f>DATEVALUE(TEXT(L457,"mm/dd/yy"))</f>
        <v>45594</v>
      </c>
      <c r="N457" s="17">
        <f>'Electronic Shop Sales Dataset'!$D457*'Electronic Shop Sales Dataset'!$E457</f>
        <v>509.1</v>
      </c>
      <c r="O457" s="12" cm="1">
        <f t="array" ref="O457">_xlfn.IFS($K457="Website",$N457*0.05, $K457="Mobile App",$N457*0.05,TRUE,0)</f>
        <v>0</v>
      </c>
      <c r="P457" s="14" t="str">
        <f>IF(COUNTIF($G$2:G1032,G457)&gt;1,"Returning","New")</f>
        <v>Returning</v>
      </c>
      <c r="Q457" s="24" t="str">
        <f t="shared" si="7"/>
        <v>October</v>
      </c>
      <c r="R457" t="str">
        <v>New Arrival</v>
      </c>
    </row>
    <row r="458" spans="1:18" x14ac:dyDescent="0.25">
      <c r="A458" s="10" t="s">
        <v>88</v>
      </c>
      <c r="B458" s="11" t="str">
        <f>'Electronic Shop Sales Dataset'!$A458&amp;"-"&amp;'Electronic Shop Sales Dataset'!$C458</f>
        <v>P00018-Speaker</v>
      </c>
      <c r="C458" s="11" t="s">
        <v>106</v>
      </c>
      <c r="D458" s="12">
        <v>392.39</v>
      </c>
      <c r="E458" s="11">
        <v>1</v>
      </c>
      <c r="F458" s="11" t="s">
        <v>33</v>
      </c>
      <c r="G458" s="11" t="s">
        <v>674</v>
      </c>
      <c r="H458" s="11" t="s">
        <v>109</v>
      </c>
      <c r="I458" s="11">
        <v>44.299782</v>
      </c>
      <c r="J458" s="11">
        <v>-99.438828000000001</v>
      </c>
      <c r="K458" s="11" t="s">
        <v>23</v>
      </c>
      <c r="L458" s="13">
        <v>45596</v>
      </c>
      <c r="M458" s="13">
        <f>DATEVALUE(TEXT(L458,"mm/dd/yy"))</f>
        <v>45596</v>
      </c>
      <c r="N458" s="12">
        <f>'Electronic Shop Sales Dataset'!$D458*'Electronic Shop Sales Dataset'!$E458</f>
        <v>392.39</v>
      </c>
      <c r="O458" s="12" cm="1">
        <f t="array" ref="O458">_xlfn.IFS($K458="Website",$N458*0.05, $K458="Mobile App",$N458*0.05,TRUE,0)</f>
        <v>0</v>
      </c>
      <c r="P458" s="14" t="str">
        <f>IF(COUNTIF($G$2:G1033,G458)&gt;1,"Returning","New")</f>
        <v>New</v>
      </c>
      <c r="Q458" s="24" t="str">
        <f t="shared" si="7"/>
        <v>October</v>
      </c>
      <c r="R458" t="str">
        <v>New Arrival</v>
      </c>
    </row>
    <row r="459" spans="1:18" x14ac:dyDescent="0.25">
      <c r="A459" s="15" t="s">
        <v>86</v>
      </c>
      <c r="B459" s="16" t="str">
        <f>'Electronic Shop Sales Dataset'!$A459&amp;"-"&amp;'Electronic Shop Sales Dataset'!$C459</f>
        <v>P00021-Smartphone</v>
      </c>
      <c r="C459" s="16" t="s">
        <v>12</v>
      </c>
      <c r="D459" s="17">
        <v>601.77</v>
      </c>
      <c r="E459" s="16">
        <v>4</v>
      </c>
      <c r="F459" s="16" t="s">
        <v>21</v>
      </c>
      <c r="G459" s="16" t="s">
        <v>675</v>
      </c>
      <c r="H459" s="16" t="s">
        <v>34</v>
      </c>
      <c r="I459" s="16">
        <v>32.806671000000001</v>
      </c>
      <c r="J459" s="16">
        <v>-86.791129999999995</v>
      </c>
      <c r="K459" s="16" t="s">
        <v>23</v>
      </c>
      <c r="L459" s="18">
        <v>45598</v>
      </c>
      <c r="M459" s="13">
        <f>DATEVALUE(TEXT(L459,"mm/dd/yy"))</f>
        <v>45598</v>
      </c>
      <c r="N459" s="17">
        <f>'Electronic Shop Sales Dataset'!$D459*'Electronic Shop Sales Dataset'!$E459</f>
        <v>2407.08</v>
      </c>
      <c r="O459" s="12" cm="1">
        <f t="array" ref="O459">_xlfn.IFS($K459="Website",$N459*0.05, $K459="Mobile App",$N459*0.05,TRUE,0)</f>
        <v>0</v>
      </c>
      <c r="P459" s="14" t="str">
        <f>IF(COUNTIF($G$2:G1034,G459)&gt;1,"Returning","New")</f>
        <v>New</v>
      </c>
      <c r="Q459" s="24" t="str">
        <f t="shared" si="7"/>
        <v>November</v>
      </c>
      <c r="R459" t="str">
        <v>New Arrival</v>
      </c>
    </row>
    <row r="460" spans="1:18" x14ac:dyDescent="0.25">
      <c r="A460" s="10" t="s">
        <v>58</v>
      </c>
      <c r="B460" s="11" t="str">
        <f>'Electronic Shop Sales Dataset'!$A460&amp;"-"&amp;'Electronic Shop Sales Dataset'!$C460</f>
        <v>P00009-Smart Home Hub</v>
      </c>
      <c r="C460" s="11" t="s">
        <v>42</v>
      </c>
      <c r="D460" s="12">
        <v>174.18</v>
      </c>
      <c r="E460" s="11">
        <v>4</v>
      </c>
      <c r="F460" s="11" t="s">
        <v>33</v>
      </c>
      <c r="G460" s="11" t="s">
        <v>676</v>
      </c>
      <c r="H460" s="11" t="s">
        <v>67</v>
      </c>
      <c r="I460" s="11">
        <v>46.921925000000002</v>
      </c>
      <c r="J460" s="11">
        <v>-110.454353</v>
      </c>
      <c r="K460" s="11" t="s">
        <v>27</v>
      </c>
      <c r="L460" s="13">
        <v>45599</v>
      </c>
      <c r="M460" s="13">
        <f>DATEVALUE(TEXT(L460,"mm/dd/yy"))</f>
        <v>45599</v>
      </c>
      <c r="N460" s="12">
        <f>'Electronic Shop Sales Dataset'!$D460*'Electronic Shop Sales Dataset'!$E460</f>
        <v>696.72</v>
      </c>
      <c r="O460" s="12" cm="1">
        <f t="array" ref="O460">_xlfn.IFS($K460="Website",$N460*0.05, $K460="Mobile App",$N460*0.05,TRUE,0)</f>
        <v>0</v>
      </c>
      <c r="P460" s="14" t="str">
        <f>IF(COUNTIF($G$2:G1035,G460)&gt;1,"Returning","New")</f>
        <v>New</v>
      </c>
      <c r="Q460" s="24" t="str">
        <f t="shared" si="7"/>
        <v>November</v>
      </c>
      <c r="R460" t="str">
        <v>New Arrival</v>
      </c>
    </row>
    <row r="461" spans="1:18" x14ac:dyDescent="0.25">
      <c r="A461" s="15" t="s">
        <v>84</v>
      </c>
      <c r="B461" s="16" t="str">
        <f>'Electronic Shop Sales Dataset'!$A461&amp;"-"&amp;'Electronic Shop Sales Dataset'!$C461</f>
        <v>P00020-VR Headset</v>
      </c>
      <c r="C461" s="16" t="s">
        <v>72</v>
      </c>
      <c r="D461" s="17">
        <v>883.93</v>
      </c>
      <c r="E461" s="16">
        <v>5</v>
      </c>
      <c r="F461" s="16" t="s">
        <v>13</v>
      </c>
      <c r="G461" s="16" t="s">
        <v>677</v>
      </c>
      <c r="H461" s="16" t="s">
        <v>109</v>
      </c>
      <c r="I461" s="16">
        <v>44.299782</v>
      </c>
      <c r="J461" s="16">
        <v>-99.438828000000001</v>
      </c>
      <c r="K461" s="16" t="s">
        <v>23</v>
      </c>
      <c r="L461" s="18">
        <v>45601</v>
      </c>
      <c r="M461" s="13">
        <f>DATEVALUE(TEXT(L461,"mm/dd/yy"))</f>
        <v>45601</v>
      </c>
      <c r="N461" s="17">
        <f>'Electronic Shop Sales Dataset'!$D461*'Electronic Shop Sales Dataset'!$E461</f>
        <v>4419.6499999999996</v>
      </c>
      <c r="O461" s="12" cm="1">
        <f t="array" ref="O461">_xlfn.IFS($K461="Website",$N461*0.05, $K461="Mobile App",$N461*0.05,TRUE,0)</f>
        <v>0</v>
      </c>
      <c r="P461" s="14" t="str">
        <f>IF(COUNTIF($G$2:G1036,G461)&gt;1,"Returning","New")</f>
        <v>New</v>
      </c>
      <c r="Q461" s="24" t="str">
        <f t="shared" si="7"/>
        <v>November</v>
      </c>
      <c r="R461" t="str">
        <v>New Arrival</v>
      </c>
    </row>
    <row r="462" spans="1:18" x14ac:dyDescent="0.25">
      <c r="A462" s="10" t="s">
        <v>88</v>
      </c>
      <c r="B462" s="11" t="str">
        <f>'Electronic Shop Sales Dataset'!$A462&amp;"-"&amp;'Electronic Shop Sales Dataset'!$C462</f>
        <v>P00018-Keyboard</v>
      </c>
      <c r="C462" s="11" t="s">
        <v>29</v>
      </c>
      <c r="D462" s="12">
        <v>41.27</v>
      </c>
      <c r="E462" s="11">
        <v>2</v>
      </c>
      <c r="F462" s="11" t="s">
        <v>33</v>
      </c>
      <c r="G462" s="11" t="s">
        <v>678</v>
      </c>
      <c r="H462" s="11" t="s">
        <v>91</v>
      </c>
      <c r="I462" s="11">
        <v>38.313515000000002</v>
      </c>
      <c r="J462" s="11">
        <v>-117.055374</v>
      </c>
      <c r="K462" s="11" t="s">
        <v>54</v>
      </c>
      <c r="L462" s="13">
        <v>45602</v>
      </c>
      <c r="M462" s="13">
        <f>DATEVALUE(TEXT(L462,"mm/dd/yy"))</f>
        <v>45602</v>
      </c>
      <c r="N462" s="12">
        <f>'Electronic Shop Sales Dataset'!$D462*'Electronic Shop Sales Dataset'!$E462</f>
        <v>82.54</v>
      </c>
      <c r="O462" s="12" cm="1">
        <f t="array" ref="O462">_xlfn.IFS($K462="Website",$N462*0.05, $K462="Mobile App",$N462*0.05,TRUE,0)</f>
        <v>4.1270000000000007</v>
      </c>
      <c r="P462" s="14" t="str">
        <f>IF(COUNTIF($G$2:G1037,G462)&gt;1,"Returning","New")</f>
        <v>New</v>
      </c>
      <c r="Q462" s="24" t="str">
        <f t="shared" si="7"/>
        <v>November</v>
      </c>
      <c r="R462" t="str">
        <v>New Arrival</v>
      </c>
    </row>
    <row r="463" spans="1:18" x14ac:dyDescent="0.25">
      <c r="A463" s="15" t="s">
        <v>117</v>
      </c>
      <c r="B463" s="16" t="str">
        <f>'Electronic Shop Sales Dataset'!$A463&amp;"-"&amp;'Electronic Shop Sales Dataset'!$C463</f>
        <v>P00016-USB Drive</v>
      </c>
      <c r="C463" s="16" t="s">
        <v>36</v>
      </c>
      <c r="D463" s="17">
        <v>20.84</v>
      </c>
      <c r="E463" s="16">
        <v>1</v>
      </c>
      <c r="F463" s="16" t="s">
        <v>43</v>
      </c>
      <c r="G463" s="16" t="s">
        <v>246</v>
      </c>
      <c r="H463" s="16" t="s">
        <v>82</v>
      </c>
      <c r="I463" s="16">
        <v>44.268543000000001</v>
      </c>
      <c r="J463" s="16">
        <v>-89.616507999999996</v>
      </c>
      <c r="K463" s="16" t="s">
        <v>15</v>
      </c>
      <c r="L463" s="18">
        <v>45602</v>
      </c>
      <c r="M463" s="13">
        <f>DATEVALUE(TEXT(L463,"mm/dd/yy"))</f>
        <v>45602</v>
      </c>
      <c r="N463" s="17">
        <f>'Electronic Shop Sales Dataset'!$D463*'Electronic Shop Sales Dataset'!$E463</f>
        <v>20.84</v>
      </c>
      <c r="O463" s="12" cm="1">
        <f t="array" ref="O463">_xlfn.IFS($K463="Website",$N463*0.05, $K463="Mobile App",$N463*0.05,TRUE,0)</f>
        <v>0</v>
      </c>
      <c r="P463" s="14" t="str">
        <f>IF(COUNTIF($G$2:G1038,G463)&gt;1,"Returning","New")</f>
        <v>New</v>
      </c>
      <c r="Q463" s="24" t="str">
        <f t="shared" si="7"/>
        <v>November</v>
      </c>
      <c r="R463" t="str">
        <v>New Arrival</v>
      </c>
    </row>
    <row r="464" spans="1:18" x14ac:dyDescent="0.25">
      <c r="A464" s="10" t="s">
        <v>64</v>
      </c>
      <c r="B464" s="11" t="str">
        <f>'Electronic Shop Sales Dataset'!$A464&amp;"-"&amp;'Electronic Shop Sales Dataset'!$C464</f>
        <v>P00011-Mouse</v>
      </c>
      <c r="C464" s="11" t="s">
        <v>95</v>
      </c>
      <c r="D464" s="12">
        <v>18.13</v>
      </c>
      <c r="E464" s="11">
        <v>3</v>
      </c>
      <c r="F464" s="11" t="s">
        <v>13</v>
      </c>
      <c r="G464" s="11" t="s">
        <v>679</v>
      </c>
      <c r="H464" s="11" t="s">
        <v>77</v>
      </c>
      <c r="I464" s="11">
        <v>44.693947000000001</v>
      </c>
      <c r="J464" s="11">
        <v>-69.381927000000005</v>
      </c>
      <c r="K464" s="11" t="s">
        <v>27</v>
      </c>
      <c r="L464" s="13">
        <v>45603</v>
      </c>
      <c r="M464" s="13">
        <f>DATEVALUE(TEXT(L464,"mm/dd/yy"))</f>
        <v>45603</v>
      </c>
      <c r="N464" s="12">
        <f>'Electronic Shop Sales Dataset'!$D464*'Electronic Shop Sales Dataset'!$E464</f>
        <v>54.39</v>
      </c>
      <c r="O464" s="12" cm="1">
        <f t="array" ref="O464">_xlfn.IFS($K464="Website",$N464*0.05, $K464="Mobile App",$N464*0.05,TRUE,0)</f>
        <v>0</v>
      </c>
      <c r="P464" s="14" t="str">
        <f>IF(COUNTIF($G$2:G1039,G464)&gt;1,"Returning","New")</f>
        <v>New</v>
      </c>
      <c r="Q464" s="24" t="str">
        <f t="shared" si="7"/>
        <v>November</v>
      </c>
      <c r="R464" t="str">
        <v>New Arrival</v>
      </c>
    </row>
    <row r="465" spans="1:18" x14ac:dyDescent="0.25">
      <c r="A465" s="15" t="s">
        <v>49</v>
      </c>
      <c r="B465" s="16" t="str">
        <f>'Electronic Shop Sales Dataset'!$A465&amp;"-"&amp;'Electronic Shop Sales Dataset'!$C465</f>
        <v>P00023-Router</v>
      </c>
      <c r="C465" s="16" t="s">
        <v>39</v>
      </c>
      <c r="D465" s="17">
        <v>284.10000000000002</v>
      </c>
      <c r="E465" s="16">
        <v>1</v>
      </c>
      <c r="F465" s="16" t="s">
        <v>43</v>
      </c>
      <c r="G465" s="16" t="s">
        <v>680</v>
      </c>
      <c r="H465" s="16" t="s">
        <v>50</v>
      </c>
      <c r="I465" s="16">
        <v>47.400902000000002</v>
      </c>
      <c r="J465" s="16">
        <v>-121.490494</v>
      </c>
      <c r="K465" s="16" t="s">
        <v>48</v>
      </c>
      <c r="L465" s="18">
        <v>45605</v>
      </c>
      <c r="M465" s="13">
        <f>DATEVALUE(TEXT(L465,"mm/dd/yy"))</f>
        <v>45605</v>
      </c>
      <c r="N465" s="17">
        <f>'Electronic Shop Sales Dataset'!$D465*'Electronic Shop Sales Dataset'!$E465</f>
        <v>284.10000000000002</v>
      </c>
      <c r="O465" s="12" cm="1">
        <f t="array" ref="O465">_xlfn.IFS($K465="Website",$N465*0.05, $K465="Mobile App",$N465*0.05,TRUE,0)</f>
        <v>14.205000000000002</v>
      </c>
      <c r="P465" s="14" t="str">
        <f>IF(COUNTIF($G$2:G1040,G465)&gt;1,"Returning","New")</f>
        <v>New</v>
      </c>
      <c r="Q465" s="24" t="str">
        <f t="shared" si="7"/>
        <v>November</v>
      </c>
      <c r="R465" t="str">
        <v>New Arrival</v>
      </c>
    </row>
    <row r="466" spans="1:18" x14ac:dyDescent="0.25">
      <c r="A466" s="10" t="s">
        <v>35</v>
      </c>
      <c r="B466" s="11" t="str">
        <f>'Electronic Shop Sales Dataset'!$A466&amp;"-"&amp;'Electronic Shop Sales Dataset'!$C466</f>
        <v>P00008-Graphics Card</v>
      </c>
      <c r="C466" s="11" t="s">
        <v>125</v>
      </c>
      <c r="D466" s="12">
        <v>1018.55</v>
      </c>
      <c r="E466" s="11">
        <v>5</v>
      </c>
      <c r="F466" s="11" t="s">
        <v>43</v>
      </c>
      <c r="G466" s="11" t="s">
        <v>681</v>
      </c>
      <c r="H466" s="11" t="s">
        <v>129</v>
      </c>
      <c r="I466" s="11">
        <v>42.165725999999999</v>
      </c>
      <c r="J466" s="11">
        <v>-74.948051000000007</v>
      </c>
      <c r="K466" s="11" t="s">
        <v>48</v>
      </c>
      <c r="L466" s="13">
        <v>45607</v>
      </c>
      <c r="M466" s="13">
        <f>DATEVALUE(TEXT(L466,"mm/dd/yy"))</f>
        <v>45607</v>
      </c>
      <c r="N466" s="12">
        <f>'Electronic Shop Sales Dataset'!$D466*'Electronic Shop Sales Dataset'!$E466</f>
        <v>5092.75</v>
      </c>
      <c r="O466" s="12" cm="1">
        <f t="array" ref="O466">_xlfn.IFS($K466="Website",$N466*0.05, $K466="Mobile App",$N466*0.05,TRUE,0)</f>
        <v>254.63750000000002</v>
      </c>
      <c r="P466" s="14" t="str">
        <f>IF(COUNTIF($G$2:G1041,G466)&gt;1,"Returning","New")</f>
        <v>New</v>
      </c>
      <c r="Q466" s="24" t="str">
        <f t="shared" si="7"/>
        <v>November</v>
      </c>
      <c r="R466" t="str">
        <v>New Arrival</v>
      </c>
    </row>
    <row r="467" spans="1:18" x14ac:dyDescent="0.25">
      <c r="A467" s="15" t="s">
        <v>90</v>
      </c>
      <c r="B467" s="16" t="str">
        <f>'Electronic Shop Sales Dataset'!$A467&amp;"-"&amp;'Electronic Shop Sales Dataset'!$C467</f>
        <v>P00014-Headphones</v>
      </c>
      <c r="C467" s="16" t="s">
        <v>55</v>
      </c>
      <c r="D467" s="17">
        <v>148.63</v>
      </c>
      <c r="E467" s="16">
        <v>2</v>
      </c>
      <c r="F467" s="16" t="s">
        <v>13</v>
      </c>
      <c r="G467" s="16" t="s">
        <v>682</v>
      </c>
      <c r="H467" s="16" t="s">
        <v>85</v>
      </c>
      <c r="I467" s="16">
        <v>31.169546</v>
      </c>
      <c r="J467" s="16">
        <v>-91.867805000000004</v>
      </c>
      <c r="K467" s="16" t="s">
        <v>27</v>
      </c>
      <c r="L467" s="18">
        <v>45608</v>
      </c>
      <c r="M467" s="13">
        <f>DATEVALUE(TEXT(L467,"mm/dd/yy"))</f>
        <v>45608</v>
      </c>
      <c r="N467" s="17">
        <f>'Electronic Shop Sales Dataset'!$D467*'Electronic Shop Sales Dataset'!$E467</f>
        <v>297.26</v>
      </c>
      <c r="O467" s="12" cm="1">
        <f t="array" ref="O467">_xlfn.IFS($K467="Website",$N467*0.05, $K467="Mobile App",$N467*0.05,TRUE,0)</f>
        <v>0</v>
      </c>
      <c r="P467" s="14" t="str">
        <f>IF(COUNTIF($G$2:G1042,G467)&gt;1,"Returning","New")</f>
        <v>New</v>
      </c>
      <c r="Q467" s="24" t="str">
        <f t="shared" si="7"/>
        <v>November</v>
      </c>
      <c r="R467" t="str">
        <v>New Arrival</v>
      </c>
    </row>
    <row r="468" spans="1:18" x14ac:dyDescent="0.25">
      <c r="A468" s="10" t="s">
        <v>117</v>
      </c>
      <c r="B468" s="11" t="str">
        <f>'Electronic Shop Sales Dataset'!$A468&amp;"-"&amp;'Electronic Shop Sales Dataset'!$C468</f>
        <v>P00016-Headphones</v>
      </c>
      <c r="C468" s="11" t="s">
        <v>55</v>
      </c>
      <c r="D468" s="12">
        <v>249.79</v>
      </c>
      <c r="E468" s="11">
        <v>5</v>
      </c>
      <c r="F468" s="11" t="s">
        <v>33</v>
      </c>
      <c r="G468" s="11" t="s">
        <v>683</v>
      </c>
      <c r="H468" s="11" t="s">
        <v>75</v>
      </c>
      <c r="I468" s="11">
        <v>39.059811000000003</v>
      </c>
      <c r="J468" s="11">
        <v>-105.311104</v>
      </c>
      <c r="K468" s="11" t="s">
        <v>48</v>
      </c>
      <c r="L468" s="13">
        <v>45609</v>
      </c>
      <c r="M468" s="13">
        <f>DATEVALUE(TEXT(L468,"mm/dd/yy"))</f>
        <v>45609</v>
      </c>
      <c r="N468" s="12">
        <f>'Electronic Shop Sales Dataset'!$D468*'Electronic Shop Sales Dataset'!$E468</f>
        <v>1248.95</v>
      </c>
      <c r="O468" s="12" cm="1">
        <f t="array" ref="O468">_xlfn.IFS($K468="Website",$N468*0.05, $K468="Mobile App",$N468*0.05,TRUE,0)</f>
        <v>62.447500000000005</v>
      </c>
      <c r="P468" s="14" t="str">
        <f>IF(COUNTIF($G$2:G1043,G468)&gt;1,"Returning","New")</f>
        <v>New</v>
      </c>
      <c r="Q468" s="24" t="str">
        <f t="shared" si="7"/>
        <v>November</v>
      </c>
      <c r="R468" t="str">
        <v>New Arrival</v>
      </c>
    </row>
    <row r="469" spans="1:18" x14ac:dyDescent="0.25">
      <c r="A469" s="15" t="s">
        <v>86</v>
      </c>
      <c r="B469" s="16" t="str">
        <f>'Electronic Shop Sales Dataset'!$A469&amp;"-"&amp;'Electronic Shop Sales Dataset'!$C469</f>
        <v>P00021-Speaker</v>
      </c>
      <c r="C469" s="16" t="s">
        <v>106</v>
      </c>
      <c r="D469" s="17">
        <v>490.63</v>
      </c>
      <c r="E469" s="16">
        <v>4</v>
      </c>
      <c r="F469" s="16" t="s">
        <v>13</v>
      </c>
      <c r="G469" s="16" t="s">
        <v>684</v>
      </c>
      <c r="H469" s="16" t="s">
        <v>53</v>
      </c>
      <c r="I469" s="16">
        <v>40.298904</v>
      </c>
      <c r="J469" s="16">
        <v>-74.521011000000001</v>
      </c>
      <c r="K469" s="16" t="s">
        <v>23</v>
      </c>
      <c r="L469" s="18">
        <v>45609</v>
      </c>
      <c r="M469" s="13">
        <f>DATEVALUE(TEXT(L469,"mm/dd/yy"))</f>
        <v>45609</v>
      </c>
      <c r="N469" s="17">
        <f>'Electronic Shop Sales Dataset'!$D469*'Electronic Shop Sales Dataset'!$E469</f>
        <v>1962.52</v>
      </c>
      <c r="O469" s="12" cm="1">
        <f t="array" ref="O469">_xlfn.IFS($K469="Website",$N469*0.05, $K469="Mobile App",$N469*0.05,TRUE,0)</f>
        <v>0</v>
      </c>
      <c r="P469" s="14" t="str">
        <f>IF(COUNTIF($G$2:G1044,G469)&gt;1,"Returning","New")</f>
        <v>New</v>
      </c>
      <c r="Q469" s="24" t="str">
        <f t="shared" si="7"/>
        <v>November</v>
      </c>
      <c r="R469" t="str">
        <v>New Arrival</v>
      </c>
    </row>
    <row r="470" spans="1:18" x14ac:dyDescent="0.25">
      <c r="A470" s="10" t="s">
        <v>60</v>
      </c>
      <c r="B470" s="11" t="str">
        <f>'Electronic Shop Sales Dataset'!$A470&amp;"-"&amp;'Electronic Shop Sales Dataset'!$C470</f>
        <v>P00015-Scanner</v>
      </c>
      <c r="C470" s="11" t="s">
        <v>71</v>
      </c>
      <c r="D470" s="12">
        <v>134.28</v>
      </c>
      <c r="E470" s="11">
        <v>5</v>
      </c>
      <c r="F470" s="11" t="s">
        <v>33</v>
      </c>
      <c r="G470" s="11" t="s">
        <v>654</v>
      </c>
      <c r="H470" s="11" t="s">
        <v>132</v>
      </c>
      <c r="I470" s="11">
        <v>27.766279000000001</v>
      </c>
      <c r="J470" s="11">
        <v>-81.686783000000005</v>
      </c>
      <c r="K470" s="11" t="s">
        <v>54</v>
      </c>
      <c r="L470" s="13">
        <v>45610</v>
      </c>
      <c r="M470" s="13">
        <f>DATEVALUE(TEXT(L470,"mm/dd/yy"))</f>
        <v>45610</v>
      </c>
      <c r="N470" s="12">
        <f>'Electronic Shop Sales Dataset'!$D470*'Electronic Shop Sales Dataset'!$E470</f>
        <v>671.4</v>
      </c>
      <c r="O470" s="12" cm="1">
        <f t="array" ref="O470">_xlfn.IFS($K470="Website",$N470*0.05, $K470="Mobile App",$N470*0.05,TRUE,0)</f>
        <v>33.57</v>
      </c>
      <c r="P470" s="14" t="str">
        <f>IF(COUNTIF($G$2:G1045,G470)&gt;1,"Returning","New")</f>
        <v>New</v>
      </c>
      <c r="Q470" s="24" t="str">
        <f t="shared" si="7"/>
        <v>November</v>
      </c>
      <c r="R470" t="str">
        <v>New Arrival</v>
      </c>
    </row>
    <row r="471" spans="1:18" x14ac:dyDescent="0.25">
      <c r="A471" s="15" t="s">
        <v>102</v>
      </c>
      <c r="B471" s="16" t="str">
        <f>'Electronic Shop Sales Dataset'!$A471&amp;"-"&amp;'Electronic Shop Sales Dataset'!$C471</f>
        <v>P00001-Camera</v>
      </c>
      <c r="C471" s="16" t="s">
        <v>46</v>
      </c>
      <c r="D471" s="17">
        <v>2003.81</v>
      </c>
      <c r="E471" s="16">
        <v>5</v>
      </c>
      <c r="F471" s="16" t="s">
        <v>13</v>
      </c>
      <c r="G471" s="16" t="s">
        <v>685</v>
      </c>
      <c r="H471" s="16" t="s">
        <v>76</v>
      </c>
      <c r="I471" s="16">
        <v>33.856892000000002</v>
      </c>
      <c r="J471" s="16">
        <v>-80.945007000000004</v>
      </c>
      <c r="K471" s="16" t="s">
        <v>54</v>
      </c>
      <c r="L471" s="18">
        <v>45612</v>
      </c>
      <c r="M471" s="13">
        <f>DATEVALUE(TEXT(L471,"mm/dd/yy"))</f>
        <v>45612</v>
      </c>
      <c r="N471" s="17">
        <f>'Electronic Shop Sales Dataset'!$D471*'Electronic Shop Sales Dataset'!$E471</f>
        <v>10019.049999999999</v>
      </c>
      <c r="O471" s="12" cm="1">
        <f t="array" ref="O471">_xlfn.IFS($K471="Website",$N471*0.05, $K471="Mobile App",$N471*0.05,TRUE,0)</f>
        <v>500.95249999999999</v>
      </c>
      <c r="P471" s="14" t="str">
        <f>IF(COUNTIF($G$2:G1046,G471)&gt;1,"Returning","New")</f>
        <v>New</v>
      </c>
      <c r="Q471" s="24" t="str">
        <f t="shared" si="7"/>
        <v>November</v>
      </c>
      <c r="R471" t="str">
        <v>New Arrival</v>
      </c>
    </row>
    <row r="472" spans="1:18" x14ac:dyDescent="0.25">
      <c r="A472" s="10" t="s">
        <v>84</v>
      </c>
      <c r="B472" s="11" t="str">
        <f>'Electronic Shop Sales Dataset'!$A472&amp;"-"&amp;'Electronic Shop Sales Dataset'!$C472</f>
        <v>P00020-Smart TV</v>
      </c>
      <c r="C472" s="11" t="s">
        <v>74</v>
      </c>
      <c r="D472" s="12">
        <v>1193.6600000000001</v>
      </c>
      <c r="E472" s="11">
        <v>2</v>
      </c>
      <c r="F472" s="11" t="s">
        <v>13</v>
      </c>
      <c r="G472" s="11" t="s">
        <v>686</v>
      </c>
      <c r="H472" s="11" t="s">
        <v>87</v>
      </c>
      <c r="I472" s="11">
        <v>33.729759000000001</v>
      </c>
      <c r="J472" s="11">
        <v>-111.43122099999999</v>
      </c>
      <c r="K472" s="11" t="s">
        <v>15</v>
      </c>
      <c r="L472" s="13">
        <v>45612</v>
      </c>
      <c r="M472" s="13">
        <f>DATEVALUE(TEXT(L472,"mm/dd/yy"))</f>
        <v>45612</v>
      </c>
      <c r="N472" s="12">
        <f>'Electronic Shop Sales Dataset'!$D472*'Electronic Shop Sales Dataset'!$E472</f>
        <v>2387.3200000000002</v>
      </c>
      <c r="O472" s="12" cm="1">
        <f t="array" ref="O472">_xlfn.IFS($K472="Website",$N472*0.05, $K472="Mobile App",$N472*0.05,TRUE,0)</f>
        <v>0</v>
      </c>
      <c r="P472" s="14" t="str">
        <f>IF(COUNTIF($G$2:G1047,G472)&gt;1,"Returning","New")</f>
        <v>New</v>
      </c>
      <c r="Q472" s="24" t="str">
        <f t="shared" si="7"/>
        <v>November</v>
      </c>
      <c r="R472" t="str">
        <v>New Arrival</v>
      </c>
    </row>
    <row r="473" spans="1:18" x14ac:dyDescent="0.25">
      <c r="A473" s="15" t="s">
        <v>102</v>
      </c>
      <c r="B473" s="16" t="str">
        <f>'Electronic Shop Sales Dataset'!$A473&amp;"-"&amp;'Electronic Shop Sales Dataset'!$C473</f>
        <v>P00001-Projector</v>
      </c>
      <c r="C473" s="16" t="s">
        <v>65</v>
      </c>
      <c r="D473" s="17">
        <v>837.53</v>
      </c>
      <c r="E473" s="16">
        <v>2</v>
      </c>
      <c r="F473" s="16" t="s">
        <v>13</v>
      </c>
      <c r="G473" s="16" t="s">
        <v>687</v>
      </c>
      <c r="H473" s="16" t="s">
        <v>67</v>
      </c>
      <c r="I473" s="16">
        <v>46.921925000000002</v>
      </c>
      <c r="J473" s="16">
        <v>-110.454353</v>
      </c>
      <c r="K473" s="16" t="s">
        <v>48</v>
      </c>
      <c r="L473" s="18">
        <v>45619</v>
      </c>
      <c r="M473" s="13">
        <f>DATEVALUE(TEXT(L473,"mm/dd/yy"))</f>
        <v>45619</v>
      </c>
      <c r="N473" s="17">
        <f>'Electronic Shop Sales Dataset'!$D473*'Electronic Shop Sales Dataset'!$E473</f>
        <v>1675.06</v>
      </c>
      <c r="O473" s="12" cm="1">
        <f t="array" ref="O473">_xlfn.IFS($K473="Website",$N473*0.05, $K473="Mobile App",$N473*0.05,TRUE,0)</f>
        <v>83.753</v>
      </c>
      <c r="P473" s="14" t="str">
        <f>IF(COUNTIF($G$2:G1048,G473)&gt;1,"Returning","New")</f>
        <v>New</v>
      </c>
      <c r="Q473" s="24" t="str">
        <f t="shared" si="7"/>
        <v>November</v>
      </c>
      <c r="R473" t="str">
        <v>New Arrival</v>
      </c>
    </row>
    <row r="474" spans="1:18" x14ac:dyDescent="0.25">
      <c r="A474" s="10" t="s">
        <v>35</v>
      </c>
      <c r="B474" s="11" t="str">
        <f>'Electronic Shop Sales Dataset'!$A474&amp;"-"&amp;'Electronic Shop Sales Dataset'!$C474</f>
        <v>P00008-Drone</v>
      </c>
      <c r="C474" s="11" t="s">
        <v>20</v>
      </c>
      <c r="D474" s="12">
        <v>2268.4299999999998</v>
      </c>
      <c r="E474" s="11">
        <v>3</v>
      </c>
      <c r="F474" s="11" t="s">
        <v>43</v>
      </c>
      <c r="G474" s="11" t="s">
        <v>688</v>
      </c>
      <c r="H474" s="11" t="s">
        <v>132</v>
      </c>
      <c r="I474" s="11">
        <v>27.766279000000001</v>
      </c>
      <c r="J474" s="11">
        <v>-81.686783000000005</v>
      </c>
      <c r="K474" s="11" t="s">
        <v>23</v>
      </c>
      <c r="L474" s="13">
        <v>45619</v>
      </c>
      <c r="M474" s="13">
        <f>DATEVALUE(TEXT(L474,"mm/dd/yy"))</f>
        <v>45619</v>
      </c>
      <c r="N474" s="12">
        <f>'Electronic Shop Sales Dataset'!$D474*'Electronic Shop Sales Dataset'!$E474</f>
        <v>6805.2899999999991</v>
      </c>
      <c r="O474" s="12" cm="1">
        <f t="array" ref="O474">_xlfn.IFS($K474="Website",$N474*0.05, $K474="Mobile App",$N474*0.05,TRUE,0)</f>
        <v>0</v>
      </c>
      <c r="P474" s="14" t="str">
        <f>IF(COUNTIF($G$2:G1049,G474)&gt;1,"Returning","New")</f>
        <v>New</v>
      </c>
      <c r="Q474" s="24" t="str">
        <f t="shared" si="7"/>
        <v>November</v>
      </c>
      <c r="R474" t="str">
        <v>New Arrival</v>
      </c>
    </row>
    <row r="475" spans="1:18" x14ac:dyDescent="0.25">
      <c r="A475" s="15" t="s">
        <v>79</v>
      </c>
      <c r="B475" s="16" t="str">
        <f>'Electronic Shop Sales Dataset'!$A475&amp;"-"&amp;'Electronic Shop Sales Dataset'!$C475</f>
        <v>P00012-Gaming Console</v>
      </c>
      <c r="C475" s="16" t="s">
        <v>17</v>
      </c>
      <c r="D475" s="17">
        <v>485.6</v>
      </c>
      <c r="E475" s="16">
        <v>3</v>
      </c>
      <c r="F475" s="16" t="s">
        <v>33</v>
      </c>
      <c r="G475" s="16" t="s">
        <v>689</v>
      </c>
      <c r="H475" s="16" t="s">
        <v>50</v>
      </c>
      <c r="I475" s="16">
        <v>47.400902000000002</v>
      </c>
      <c r="J475" s="16">
        <v>-121.490494</v>
      </c>
      <c r="K475" s="16" t="s">
        <v>27</v>
      </c>
      <c r="L475" s="18">
        <v>45620</v>
      </c>
      <c r="M475" s="13">
        <f>DATEVALUE(TEXT(L475,"mm/dd/yy"))</f>
        <v>45620</v>
      </c>
      <c r="N475" s="17">
        <f>'Electronic Shop Sales Dataset'!$D475*'Electronic Shop Sales Dataset'!$E475</f>
        <v>1456.8000000000002</v>
      </c>
      <c r="O475" s="12" cm="1">
        <f t="array" ref="O475">_xlfn.IFS($K475="Website",$N475*0.05, $K475="Mobile App",$N475*0.05,TRUE,0)</f>
        <v>0</v>
      </c>
      <c r="P475" s="14" t="str">
        <f>IF(COUNTIF($G$2:G1050,G475)&gt;1,"Returning","New")</f>
        <v>New</v>
      </c>
      <c r="Q475" s="24" t="str">
        <f t="shared" si="7"/>
        <v>November</v>
      </c>
      <c r="R475" t="str">
        <v>New Arrival</v>
      </c>
    </row>
    <row r="476" spans="1:18" x14ac:dyDescent="0.25">
      <c r="A476" s="10" t="s">
        <v>64</v>
      </c>
      <c r="B476" s="11" t="str">
        <f>'Electronic Shop Sales Dataset'!$A476&amp;"-"&amp;'Electronic Shop Sales Dataset'!$C476</f>
        <v>P00011-Drone</v>
      </c>
      <c r="C476" s="11" t="s">
        <v>20</v>
      </c>
      <c r="D476" s="12">
        <v>1643.9</v>
      </c>
      <c r="E476" s="11">
        <v>4</v>
      </c>
      <c r="F476" s="11" t="s">
        <v>13</v>
      </c>
      <c r="G476" s="11" t="s">
        <v>690</v>
      </c>
      <c r="H476" s="11" t="s">
        <v>53</v>
      </c>
      <c r="I476" s="11">
        <v>40.298904</v>
      </c>
      <c r="J476" s="11">
        <v>-74.521011000000001</v>
      </c>
      <c r="K476" s="11" t="s">
        <v>23</v>
      </c>
      <c r="L476" s="13">
        <v>45622</v>
      </c>
      <c r="M476" s="13">
        <f>DATEVALUE(TEXT(L476,"mm/dd/yy"))</f>
        <v>45622</v>
      </c>
      <c r="N476" s="12">
        <f>'Electronic Shop Sales Dataset'!$D476*'Electronic Shop Sales Dataset'!$E476</f>
        <v>6575.6</v>
      </c>
      <c r="O476" s="12" cm="1">
        <f t="array" ref="O476">_xlfn.IFS($K476="Website",$N476*0.05, $K476="Mobile App",$N476*0.05,TRUE,0)</f>
        <v>0</v>
      </c>
      <c r="P476" s="14" t="str">
        <f>IF(COUNTIF($G$2:G1051,G476)&gt;1,"Returning","New")</f>
        <v>New</v>
      </c>
      <c r="Q476" s="24" t="str">
        <f t="shared" si="7"/>
        <v>November</v>
      </c>
      <c r="R476" t="str">
        <v>New Arrival</v>
      </c>
    </row>
    <row r="477" spans="1:18" x14ac:dyDescent="0.25">
      <c r="A477" s="15" t="s">
        <v>60</v>
      </c>
      <c r="B477" s="16" t="str">
        <f>'Electronic Shop Sales Dataset'!$A477&amp;"-"&amp;'Electronic Shop Sales Dataset'!$C477</f>
        <v>P00015-Smartphone</v>
      </c>
      <c r="C477" s="16" t="s">
        <v>12</v>
      </c>
      <c r="D477" s="17">
        <v>524.46</v>
      </c>
      <c r="E477" s="16">
        <v>1</v>
      </c>
      <c r="F477" s="16" t="s">
        <v>43</v>
      </c>
      <c r="G477" s="16" t="s">
        <v>691</v>
      </c>
      <c r="H477" s="16" t="s">
        <v>146</v>
      </c>
      <c r="I477" s="16">
        <v>40.590752000000002</v>
      </c>
      <c r="J477" s="16">
        <v>-77.209755000000001</v>
      </c>
      <c r="K477" s="16" t="s">
        <v>48</v>
      </c>
      <c r="L477" s="18">
        <v>45623</v>
      </c>
      <c r="M477" s="13">
        <f>DATEVALUE(TEXT(L477,"mm/dd/yy"))</f>
        <v>45623</v>
      </c>
      <c r="N477" s="17">
        <f>'Electronic Shop Sales Dataset'!$D477*'Electronic Shop Sales Dataset'!$E477</f>
        <v>524.46</v>
      </c>
      <c r="O477" s="12" cm="1">
        <f t="array" ref="O477">_xlfn.IFS($K477="Website",$N477*0.05, $K477="Mobile App",$N477*0.05,TRUE,0)</f>
        <v>26.223000000000003</v>
      </c>
      <c r="P477" s="14" t="str">
        <f>IF(COUNTIF($G$2:G1052,G477)&gt;1,"Returning","New")</f>
        <v>New</v>
      </c>
      <c r="Q477" s="24" t="str">
        <f t="shared" si="7"/>
        <v>November</v>
      </c>
      <c r="R477" t="str">
        <v>New Arrival</v>
      </c>
    </row>
    <row r="478" spans="1:18" x14ac:dyDescent="0.25">
      <c r="A478" s="10" t="s">
        <v>28</v>
      </c>
      <c r="B478" s="11" t="str">
        <f>'Electronic Shop Sales Dataset'!$A478&amp;"-"&amp;'Electronic Shop Sales Dataset'!$C478</f>
        <v>P00006-Keyboard</v>
      </c>
      <c r="C478" s="11" t="s">
        <v>29</v>
      </c>
      <c r="D478" s="12">
        <v>64.22</v>
      </c>
      <c r="E478" s="11">
        <v>2</v>
      </c>
      <c r="F478" s="11" t="s">
        <v>13</v>
      </c>
      <c r="G478" s="11" t="s">
        <v>30</v>
      </c>
      <c r="H478" s="11" t="s">
        <v>22</v>
      </c>
      <c r="I478" s="11">
        <v>32.741646000000003</v>
      </c>
      <c r="J478" s="11">
        <v>-89.678696000000002</v>
      </c>
      <c r="K478" s="11" t="s">
        <v>23</v>
      </c>
      <c r="L478" s="13">
        <v>45292</v>
      </c>
      <c r="M478" s="13">
        <f>DATEVALUE(TEXT(L478,"mm/dd/yy"))</f>
        <v>45292</v>
      </c>
      <c r="N478" s="12">
        <f>'Electronic Shop Sales Dataset'!$D478*'Electronic Shop Sales Dataset'!$E478</f>
        <v>128.44</v>
      </c>
      <c r="O478" s="12" cm="1">
        <f t="array" ref="O478">_xlfn.IFS($K478="Website",$N478*0.05, $K478="Mobile App",$N478*0.05,TRUE,0)</f>
        <v>0</v>
      </c>
      <c r="P478" s="14" t="str">
        <f>IF(COUNTIF($G$2:G1053,G478)&gt;1,"Returning","New")</f>
        <v>New</v>
      </c>
      <c r="Q478" s="24" t="str">
        <f t="shared" si="7"/>
        <v>January</v>
      </c>
      <c r="R478" t="str">
        <v>New Arrival</v>
      </c>
    </row>
    <row r="479" spans="1:18" x14ac:dyDescent="0.25">
      <c r="A479" s="15" t="s">
        <v>41</v>
      </c>
      <c r="B479" s="16" t="str">
        <f>'Electronic Shop Sales Dataset'!$A479&amp;"-"&amp;'Electronic Shop Sales Dataset'!$C479</f>
        <v>P00024-Smart Home Hub</v>
      </c>
      <c r="C479" s="16" t="s">
        <v>42</v>
      </c>
      <c r="D479" s="17">
        <v>239.84</v>
      </c>
      <c r="E479" s="16">
        <v>3</v>
      </c>
      <c r="F479" s="16" t="s">
        <v>43</v>
      </c>
      <c r="G479" s="16" t="s">
        <v>44</v>
      </c>
      <c r="H479" s="16" t="s">
        <v>45</v>
      </c>
      <c r="I479" s="16">
        <v>36.116202999999999</v>
      </c>
      <c r="J479" s="16">
        <v>-119.68156399999999</v>
      </c>
      <c r="K479" s="16" t="s">
        <v>23</v>
      </c>
      <c r="L479" s="18">
        <v>45292</v>
      </c>
      <c r="M479" s="13">
        <f>DATEVALUE(TEXT(L479,"mm/dd/yy"))</f>
        <v>45292</v>
      </c>
      <c r="N479" s="17">
        <f>'Electronic Shop Sales Dataset'!$D479*'Electronic Shop Sales Dataset'!$E479</f>
        <v>719.52</v>
      </c>
      <c r="O479" s="12" cm="1">
        <f t="array" ref="O479">_xlfn.IFS($K479="Website",$N479*0.05, $K479="Mobile App",$N479*0.05,TRUE,0)</f>
        <v>0</v>
      </c>
      <c r="P479" s="14" t="str">
        <f>IF(COUNTIF($G$2:G1054,G479)&gt;1,"Returning","New")</f>
        <v>New</v>
      </c>
      <c r="Q479" s="24" t="str">
        <f t="shared" si="7"/>
        <v>January</v>
      </c>
      <c r="R479" t="str">
        <v>New Arrival</v>
      </c>
    </row>
    <row r="480" spans="1:18" x14ac:dyDescent="0.25">
      <c r="A480" s="10" t="s">
        <v>64</v>
      </c>
      <c r="B480" s="11" t="str">
        <f>'Electronic Shop Sales Dataset'!$A480&amp;"-"&amp;'Electronic Shop Sales Dataset'!$C480</f>
        <v>P00011-Projector</v>
      </c>
      <c r="C480" s="11" t="s">
        <v>65</v>
      </c>
      <c r="D480" s="12">
        <v>466.93</v>
      </c>
      <c r="E480" s="11">
        <v>5</v>
      </c>
      <c r="F480" s="11" t="s">
        <v>13</v>
      </c>
      <c r="G480" s="11" t="s">
        <v>66</v>
      </c>
      <c r="H480" s="11" t="s">
        <v>67</v>
      </c>
      <c r="I480" s="11">
        <v>46.921925000000002</v>
      </c>
      <c r="J480" s="11">
        <v>-110.454353</v>
      </c>
      <c r="K480" s="11" t="s">
        <v>54</v>
      </c>
      <c r="L480" s="13">
        <v>45292</v>
      </c>
      <c r="M480" s="13">
        <f>DATEVALUE(TEXT(L480,"mm/dd/yy"))</f>
        <v>45292</v>
      </c>
      <c r="N480" s="12">
        <f>'Electronic Shop Sales Dataset'!$D480*'Electronic Shop Sales Dataset'!$E480</f>
        <v>2334.65</v>
      </c>
      <c r="O480" s="12" cm="1">
        <f t="array" ref="O480">_xlfn.IFS($K480="Website",$N480*0.05, $K480="Mobile App",$N480*0.05,TRUE,0)</f>
        <v>116.73250000000002</v>
      </c>
      <c r="P480" s="14" t="str">
        <f>IF(COUNTIF($G$2:G1055,G480)&gt;1,"Returning","New")</f>
        <v>New</v>
      </c>
      <c r="Q480" s="24" t="str">
        <f t="shared" si="7"/>
        <v>January</v>
      </c>
      <c r="R480" t="str">
        <v>New Arrival</v>
      </c>
    </row>
    <row r="481" spans="1:18" x14ac:dyDescent="0.25">
      <c r="A481" s="15" t="s">
        <v>58</v>
      </c>
      <c r="B481" s="16" t="str">
        <f>'Electronic Shop Sales Dataset'!$A481&amp;"-"&amp;'Electronic Shop Sales Dataset'!$C481</f>
        <v>P00009-Smartwatch</v>
      </c>
      <c r="C481" s="16" t="s">
        <v>62</v>
      </c>
      <c r="D481" s="17">
        <v>393.97</v>
      </c>
      <c r="E481" s="16">
        <v>4</v>
      </c>
      <c r="F481" s="16" t="s">
        <v>33</v>
      </c>
      <c r="G481" s="16" t="s">
        <v>68</v>
      </c>
      <c r="H481" s="16" t="s">
        <v>40</v>
      </c>
      <c r="I481" s="16">
        <v>44.572020999999999</v>
      </c>
      <c r="J481" s="16">
        <v>-122.070938</v>
      </c>
      <c r="K481" s="16" t="s">
        <v>15</v>
      </c>
      <c r="L481" s="18">
        <v>45292</v>
      </c>
      <c r="M481" s="13">
        <f>DATEVALUE(TEXT(L481,"mm/dd/yy"))</f>
        <v>45292</v>
      </c>
      <c r="N481" s="17">
        <f>'Electronic Shop Sales Dataset'!$D481*'Electronic Shop Sales Dataset'!$E481</f>
        <v>1575.88</v>
      </c>
      <c r="O481" s="12" cm="1">
        <f t="array" ref="O481">_xlfn.IFS($K481="Website",$N481*0.05, $K481="Mobile App",$N481*0.05,TRUE,0)</f>
        <v>0</v>
      </c>
      <c r="P481" s="14" t="str">
        <f>IF(COUNTIF($G$2:G1056,G481)&gt;1,"Returning","New")</f>
        <v>New</v>
      </c>
      <c r="Q481" s="24" t="str">
        <f t="shared" si="7"/>
        <v>January</v>
      </c>
      <c r="R481" t="str">
        <v>New Arrival</v>
      </c>
    </row>
    <row r="482" spans="1:18" x14ac:dyDescent="0.25">
      <c r="A482" s="10" t="s">
        <v>64</v>
      </c>
      <c r="B482" s="11" t="str">
        <f>'Electronic Shop Sales Dataset'!$A482&amp;"-"&amp;'Electronic Shop Sales Dataset'!$C482</f>
        <v>P00011-Keyboard</v>
      </c>
      <c r="C482" s="11" t="s">
        <v>29</v>
      </c>
      <c r="D482" s="12">
        <v>100.79</v>
      </c>
      <c r="E482" s="11">
        <v>1</v>
      </c>
      <c r="F482" s="11" t="s">
        <v>33</v>
      </c>
      <c r="G482" s="11" t="s">
        <v>73</v>
      </c>
      <c r="H482" s="11" t="s">
        <v>18</v>
      </c>
      <c r="I482" s="11">
        <v>47.528911999999998</v>
      </c>
      <c r="J482" s="11">
        <v>-99.784012000000004</v>
      </c>
      <c r="K482" s="11" t="s">
        <v>48</v>
      </c>
      <c r="L482" s="13">
        <v>45293</v>
      </c>
      <c r="M482" s="13">
        <f>DATEVALUE(TEXT(L482,"mm/dd/yy"))</f>
        <v>45293</v>
      </c>
      <c r="N482" s="12">
        <f>'Electronic Shop Sales Dataset'!$D482*'Electronic Shop Sales Dataset'!$E482</f>
        <v>100.79</v>
      </c>
      <c r="O482" s="12" cm="1">
        <f t="array" ref="O482">_xlfn.IFS($K482="Website",$N482*0.05, $K482="Mobile App",$N482*0.05,TRUE,0)</f>
        <v>5.0395000000000003</v>
      </c>
      <c r="P482" s="14" t="str">
        <f>IF(COUNTIF($G$2:G1057,G482)&gt;1,"Returning","New")</f>
        <v>New</v>
      </c>
      <c r="Q482" s="24" t="str">
        <f t="shared" si="7"/>
        <v>January</v>
      </c>
      <c r="R482" t="str">
        <v>New Arrival</v>
      </c>
    </row>
    <row r="483" spans="1:18" x14ac:dyDescent="0.25">
      <c r="A483" s="15" t="s">
        <v>19</v>
      </c>
      <c r="B483" s="16" t="str">
        <f>'Electronic Shop Sales Dataset'!$A483&amp;"-"&amp;'Electronic Shop Sales Dataset'!$C483</f>
        <v>P00003-USB Drive</v>
      </c>
      <c r="C483" s="16" t="s">
        <v>36</v>
      </c>
      <c r="D483" s="17">
        <v>42.29</v>
      </c>
      <c r="E483" s="16">
        <v>2</v>
      </c>
      <c r="F483" s="16" t="s">
        <v>33</v>
      </c>
      <c r="G483" s="16" t="s">
        <v>81</v>
      </c>
      <c r="H483" s="16" t="s">
        <v>82</v>
      </c>
      <c r="I483" s="16">
        <v>44.268543000000001</v>
      </c>
      <c r="J483" s="16">
        <v>-89.616507999999996</v>
      </c>
      <c r="K483" s="16" t="s">
        <v>27</v>
      </c>
      <c r="L483" s="18">
        <v>45293</v>
      </c>
      <c r="M483" s="13">
        <f>DATEVALUE(TEXT(L483,"mm/dd/yy"))</f>
        <v>45293</v>
      </c>
      <c r="N483" s="17">
        <f>'Electronic Shop Sales Dataset'!$D483*'Electronic Shop Sales Dataset'!$E483</f>
        <v>84.58</v>
      </c>
      <c r="O483" s="12" cm="1">
        <f t="array" ref="O483">_xlfn.IFS($K483="Website",$N483*0.05, $K483="Mobile App",$N483*0.05,TRUE,0)</f>
        <v>0</v>
      </c>
      <c r="P483" s="14" t="str">
        <f>IF(COUNTIF($G$2:G1058,G483)&gt;1,"Returning","New")</f>
        <v>New</v>
      </c>
      <c r="Q483" s="24" t="str">
        <f t="shared" si="7"/>
        <v>January</v>
      </c>
      <c r="R483" t="str">
        <v>New Arrival</v>
      </c>
    </row>
    <row r="484" spans="1:18" x14ac:dyDescent="0.25">
      <c r="A484" s="10" t="s">
        <v>79</v>
      </c>
      <c r="B484" s="11" t="str">
        <f>'Electronic Shop Sales Dataset'!$A484&amp;"-"&amp;'Electronic Shop Sales Dataset'!$C484</f>
        <v>P00012-Hard Disk</v>
      </c>
      <c r="C484" s="11" t="s">
        <v>97</v>
      </c>
      <c r="D484" s="12">
        <v>100.93</v>
      </c>
      <c r="E484" s="11">
        <v>1</v>
      </c>
      <c r="F484" s="11" t="s">
        <v>13</v>
      </c>
      <c r="G484" s="11" t="s">
        <v>98</v>
      </c>
      <c r="H484" s="11" t="s">
        <v>91</v>
      </c>
      <c r="I484" s="11">
        <v>38.313515000000002</v>
      </c>
      <c r="J484" s="11">
        <v>-117.055374</v>
      </c>
      <c r="K484" s="11" t="s">
        <v>27</v>
      </c>
      <c r="L484" s="13">
        <v>45293</v>
      </c>
      <c r="M484" s="13">
        <f>DATEVALUE(TEXT(L484,"mm/dd/yy"))</f>
        <v>45293</v>
      </c>
      <c r="N484" s="12">
        <f>'Electronic Shop Sales Dataset'!$D484*'Electronic Shop Sales Dataset'!$E484</f>
        <v>100.93</v>
      </c>
      <c r="O484" s="12" cm="1">
        <f t="array" ref="O484">_xlfn.IFS($K484="Website",$N484*0.05, $K484="Mobile App",$N484*0.05,TRUE,0)</f>
        <v>0</v>
      </c>
      <c r="P484" s="14" t="str">
        <f>IF(COUNTIF($G$2:G1059,G484)&gt;1,"Returning","New")</f>
        <v>New</v>
      </c>
      <c r="Q484" s="24" t="str">
        <f t="shared" si="7"/>
        <v>January</v>
      </c>
      <c r="R484" t="str">
        <v>New Arrival</v>
      </c>
    </row>
    <row r="485" spans="1:18" x14ac:dyDescent="0.25">
      <c r="A485" s="15" t="s">
        <v>69</v>
      </c>
      <c r="B485" s="16" t="str">
        <f>'Electronic Shop Sales Dataset'!$A485&amp;"-"&amp;'Electronic Shop Sales Dataset'!$C485</f>
        <v>P00005-Tablet</v>
      </c>
      <c r="C485" s="16" t="s">
        <v>83</v>
      </c>
      <c r="D485" s="17">
        <v>381.22</v>
      </c>
      <c r="E485" s="16">
        <v>4</v>
      </c>
      <c r="F485" s="16" t="s">
        <v>33</v>
      </c>
      <c r="G485" s="16" t="s">
        <v>108</v>
      </c>
      <c r="H485" s="16" t="s">
        <v>109</v>
      </c>
      <c r="I485" s="16">
        <v>44.299782</v>
      </c>
      <c r="J485" s="16">
        <v>-99.438828000000001</v>
      </c>
      <c r="K485" s="16" t="s">
        <v>23</v>
      </c>
      <c r="L485" s="18">
        <v>45293</v>
      </c>
      <c r="M485" s="13">
        <f>DATEVALUE(TEXT(L485,"mm/dd/yy"))</f>
        <v>45293</v>
      </c>
      <c r="N485" s="17">
        <f>'Electronic Shop Sales Dataset'!$D485*'Electronic Shop Sales Dataset'!$E485</f>
        <v>1524.88</v>
      </c>
      <c r="O485" s="12" cm="1">
        <f t="array" ref="O485">_xlfn.IFS($K485="Website",$N485*0.05, $K485="Mobile App",$N485*0.05,TRUE,0)</f>
        <v>0</v>
      </c>
      <c r="P485" s="14" t="str">
        <f>IF(COUNTIF($G$2:G1060,G485)&gt;1,"Returning","New")</f>
        <v>New</v>
      </c>
      <c r="Q485" s="24" t="str">
        <f t="shared" si="7"/>
        <v>January</v>
      </c>
      <c r="R485" t="str">
        <v>New Arrival</v>
      </c>
    </row>
    <row r="486" spans="1:18" x14ac:dyDescent="0.25">
      <c r="A486" s="10" t="s">
        <v>35</v>
      </c>
      <c r="B486" s="11" t="str">
        <f>'Electronic Shop Sales Dataset'!$A486&amp;"-"&amp;'Electronic Shop Sales Dataset'!$C486</f>
        <v>P00008-Tablet</v>
      </c>
      <c r="C486" s="11" t="s">
        <v>83</v>
      </c>
      <c r="D486" s="12">
        <v>308.70999999999998</v>
      </c>
      <c r="E486" s="11">
        <v>1</v>
      </c>
      <c r="F486" s="11" t="s">
        <v>21</v>
      </c>
      <c r="G486" s="11" t="s">
        <v>111</v>
      </c>
      <c r="H486" s="11" t="s">
        <v>112</v>
      </c>
      <c r="I486" s="11">
        <v>39.063946000000001</v>
      </c>
      <c r="J486" s="11">
        <v>-76.802100999999993</v>
      </c>
      <c r="K486" s="11" t="s">
        <v>23</v>
      </c>
      <c r="L486" s="13">
        <v>45294</v>
      </c>
      <c r="M486" s="13">
        <f>DATEVALUE(TEXT(L486,"mm/dd/yy"))</f>
        <v>45294</v>
      </c>
      <c r="N486" s="12">
        <f>'Electronic Shop Sales Dataset'!$D486*'Electronic Shop Sales Dataset'!$E486</f>
        <v>308.70999999999998</v>
      </c>
      <c r="O486" s="12" cm="1">
        <f t="array" ref="O486">_xlfn.IFS($K486="Website",$N486*0.05, $K486="Mobile App",$N486*0.05,TRUE,0)</f>
        <v>0</v>
      </c>
      <c r="P486" s="14" t="str">
        <f>IF(COUNTIF($G$2:G1061,G486)&gt;1,"Returning","New")</f>
        <v>New</v>
      </c>
      <c r="Q486" s="24" t="str">
        <f t="shared" si="7"/>
        <v>January</v>
      </c>
      <c r="R486" t="str">
        <v>New Arrival</v>
      </c>
    </row>
    <row r="487" spans="1:18" x14ac:dyDescent="0.25">
      <c r="A487" s="15" t="s">
        <v>102</v>
      </c>
      <c r="B487" s="16" t="str">
        <f>'Electronic Shop Sales Dataset'!$A487&amp;"-"&amp;'Electronic Shop Sales Dataset'!$C487</f>
        <v>P00001-Monitor</v>
      </c>
      <c r="C487" s="16" t="s">
        <v>25</v>
      </c>
      <c r="D487" s="17">
        <v>464.04</v>
      </c>
      <c r="E487" s="16">
        <v>5</v>
      </c>
      <c r="F487" s="16" t="s">
        <v>43</v>
      </c>
      <c r="G487" s="16" t="s">
        <v>114</v>
      </c>
      <c r="H487" s="16" t="s">
        <v>115</v>
      </c>
      <c r="I487" s="16">
        <v>38.456085000000002</v>
      </c>
      <c r="J487" s="16">
        <v>-92.288368000000006</v>
      </c>
      <c r="K487" s="16" t="s">
        <v>23</v>
      </c>
      <c r="L487" s="18">
        <v>45294</v>
      </c>
      <c r="M487" s="13">
        <f>DATEVALUE(TEXT(L487,"mm/dd/yy"))</f>
        <v>45294</v>
      </c>
      <c r="N487" s="17">
        <f>'Electronic Shop Sales Dataset'!$D487*'Electronic Shop Sales Dataset'!$E487</f>
        <v>2320.2000000000003</v>
      </c>
      <c r="O487" s="12" cm="1">
        <f t="array" ref="O487">_xlfn.IFS($K487="Website",$N487*0.05, $K487="Mobile App",$N487*0.05,TRUE,0)</f>
        <v>0</v>
      </c>
      <c r="P487" s="14" t="str">
        <f>IF(COUNTIF($G$2:G1062,G487)&gt;1,"Returning","New")</f>
        <v>New</v>
      </c>
      <c r="Q487" s="24" t="str">
        <f t="shared" si="7"/>
        <v>January</v>
      </c>
      <c r="R487" t="str">
        <v>New Arrival</v>
      </c>
    </row>
    <row r="488" spans="1:18" x14ac:dyDescent="0.25">
      <c r="A488" s="10" t="s">
        <v>86</v>
      </c>
      <c r="B488" s="11" t="str">
        <f>'Electronic Shop Sales Dataset'!$A488&amp;"-"&amp;'Electronic Shop Sales Dataset'!$C488</f>
        <v>P00021-Headphones</v>
      </c>
      <c r="C488" s="11" t="s">
        <v>55</v>
      </c>
      <c r="D488" s="12">
        <v>249.45</v>
      </c>
      <c r="E488" s="11">
        <v>1</v>
      </c>
      <c r="F488" s="11" t="s">
        <v>21</v>
      </c>
      <c r="G488" s="11" t="s">
        <v>118</v>
      </c>
      <c r="H488" s="11" t="s">
        <v>47</v>
      </c>
      <c r="I488" s="11">
        <v>44.045876</v>
      </c>
      <c r="J488" s="11">
        <v>-72.710685999999995</v>
      </c>
      <c r="K488" s="11" t="s">
        <v>23</v>
      </c>
      <c r="L488" s="13">
        <v>45294</v>
      </c>
      <c r="M488" s="13">
        <f>DATEVALUE(TEXT(L488,"mm/dd/yy"))</f>
        <v>45294</v>
      </c>
      <c r="N488" s="12">
        <f>'Electronic Shop Sales Dataset'!$D488*'Electronic Shop Sales Dataset'!$E488</f>
        <v>249.45</v>
      </c>
      <c r="O488" s="12" cm="1">
        <f t="array" ref="O488">_xlfn.IFS($K488="Website",$N488*0.05, $K488="Mobile App",$N488*0.05,TRUE,0)</f>
        <v>0</v>
      </c>
      <c r="P488" s="14" t="str">
        <f>IF(COUNTIF($G$2:G1063,G488)&gt;1,"Returning","New")</f>
        <v>New</v>
      </c>
      <c r="Q488" s="24" t="str">
        <f t="shared" si="7"/>
        <v>January</v>
      </c>
      <c r="R488" t="str">
        <v>New Arrival</v>
      </c>
    </row>
    <row r="489" spans="1:18" x14ac:dyDescent="0.25">
      <c r="A489" s="15" t="s">
        <v>60</v>
      </c>
      <c r="B489" s="16" t="str">
        <f>'Electronic Shop Sales Dataset'!$A489&amp;"-"&amp;'Electronic Shop Sales Dataset'!$C489</f>
        <v>P00015-Hard Disk</v>
      </c>
      <c r="C489" s="16" t="s">
        <v>97</v>
      </c>
      <c r="D489" s="17">
        <v>166.61</v>
      </c>
      <c r="E489" s="16">
        <v>1</v>
      </c>
      <c r="F489" s="16" t="s">
        <v>13</v>
      </c>
      <c r="G489" s="16" t="s">
        <v>121</v>
      </c>
      <c r="H489" s="16" t="s">
        <v>122</v>
      </c>
      <c r="I489" s="16">
        <v>42.755966000000001</v>
      </c>
      <c r="J489" s="16">
        <v>-107.30249000000001</v>
      </c>
      <c r="K489" s="16" t="s">
        <v>23</v>
      </c>
      <c r="L489" s="18">
        <v>45294</v>
      </c>
      <c r="M489" s="13">
        <f>DATEVALUE(TEXT(L489,"mm/dd/yy"))</f>
        <v>45294</v>
      </c>
      <c r="N489" s="17">
        <f>'Electronic Shop Sales Dataset'!$D489*'Electronic Shop Sales Dataset'!$E489</f>
        <v>166.61</v>
      </c>
      <c r="O489" s="12" cm="1">
        <f t="array" ref="O489">_xlfn.IFS($K489="Website",$N489*0.05, $K489="Mobile App",$N489*0.05,TRUE,0)</f>
        <v>0</v>
      </c>
      <c r="P489" s="14" t="str">
        <f>IF(COUNTIF($G$2:G1064,G489)&gt;1,"Returning","New")</f>
        <v>New</v>
      </c>
      <c r="Q489" s="24" t="str">
        <f t="shared" si="7"/>
        <v>January</v>
      </c>
      <c r="R489" t="str">
        <v>New Arrival</v>
      </c>
    </row>
    <row r="490" spans="1:18" x14ac:dyDescent="0.25">
      <c r="A490" s="10" t="s">
        <v>84</v>
      </c>
      <c r="B490" s="11" t="str">
        <f>'Electronic Shop Sales Dataset'!$A490&amp;"-"&amp;'Electronic Shop Sales Dataset'!$C490</f>
        <v>P00020-Graphics Card</v>
      </c>
      <c r="C490" s="11" t="s">
        <v>125</v>
      </c>
      <c r="D490" s="12">
        <v>951.5</v>
      </c>
      <c r="E490" s="11">
        <v>4</v>
      </c>
      <c r="F490" s="11" t="s">
        <v>33</v>
      </c>
      <c r="G490" s="11" t="s">
        <v>126</v>
      </c>
      <c r="H490" s="11" t="s">
        <v>110</v>
      </c>
      <c r="I490" s="11">
        <v>33.040619</v>
      </c>
      <c r="J490" s="11">
        <v>-83.643073999999999</v>
      </c>
      <c r="K490" s="11" t="s">
        <v>15</v>
      </c>
      <c r="L490" s="13">
        <v>45294</v>
      </c>
      <c r="M490" s="13">
        <f>DATEVALUE(TEXT(L490,"mm/dd/yy"))</f>
        <v>45294</v>
      </c>
      <c r="N490" s="12">
        <f>'Electronic Shop Sales Dataset'!$D490*'Electronic Shop Sales Dataset'!$E490</f>
        <v>3806</v>
      </c>
      <c r="O490" s="12" cm="1">
        <f t="array" ref="O490">_xlfn.IFS($K490="Website",$N490*0.05, $K490="Mobile App",$N490*0.05,TRUE,0)</f>
        <v>0</v>
      </c>
      <c r="P490" s="14" t="str">
        <f>IF(COUNTIF($G$2:G1065,G490)&gt;1,"Returning","New")</f>
        <v>New</v>
      </c>
      <c r="Q490" s="24" t="str">
        <f t="shared" si="7"/>
        <v>January</v>
      </c>
      <c r="R490" t="str">
        <v>New Arrival</v>
      </c>
    </row>
    <row r="491" spans="1:18" x14ac:dyDescent="0.25">
      <c r="A491" s="15" t="s">
        <v>61</v>
      </c>
      <c r="B491" s="16" t="str">
        <f>'Electronic Shop Sales Dataset'!$A491&amp;"-"&amp;'Electronic Shop Sales Dataset'!$C491</f>
        <v>P00002-Power Bank</v>
      </c>
      <c r="C491" s="16" t="s">
        <v>124</v>
      </c>
      <c r="D491" s="17">
        <v>69.52</v>
      </c>
      <c r="E491" s="16">
        <v>5</v>
      </c>
      <c r="F491" s="16" t="s">
        <v>43</v>
      </c>
      <c r="G491" s="16" t="s">
        <v>127</v>
      </c>
      <c r="H491" s="16" t="s">
        <v>70</v>
      </c>
      <c r="I491" s="16">
        <v>39.849426000000001</v>
      </c>
      <c r="J491" s="16">
        <v>-86.258278000000004</v>
      </c>
      <c r="K491" s="16" t="s">
        <v>23</v>
      </c>
      <c r="L491" s="18">
        <v>45294</v>
      </c>
      <c r="M491" s="13">
        <f>DATEVALUE(TEXT(L491,"mm/dd/yy"))</f>
        <v>45294</v>
      </c>
      <c r="N491" s="17">
        <f>'Electronic Shop Sales Dataset'!$D491*'Electronic Shop Sales Dataset'!$E491</f>
        <v>347.59999999999997</v>
      </c>
      <c r="O491" s="12" cm="1">
        <f t="array" ref="O491">_xlfn.IFS($K491="Website",$N491*0.05, $K491="Mobile App",$N491*0.05,TRUE,0)</f>
        <v>0</v>
      </c>
      <c r="P491" s="14" t="str">
        <f>IF(COUNTIF($G$2:G1066,G491)&gt;1,"Returning","New")</f>
        <v>New</v>
      </c>
      <c r="Q491" s="24" t="str">
        <f t="shared" si="7"/>
        <v>January</v>
      </c>
      <c r="R491" t="str">
        <v>New Arrival</v>
      </c>
    </row>
    <row r="492" spans="1:18" x14ac:dyDescent="0.25">
      <c r="A492" s="10" t="s">
        <v>11</v>
      </c>
      <c r="B492" s="11" t="str">
        <f>'Electronic Shop Sales Dataset'!$A492&amp;"-"&amp;'Electronic Shop Sales Dataset'!$C492</f>
        <v>P00019-Graphics Card</v>
      </c>
      <c r="C492" s="11" t="s">
        <v>125</v>
      </c>
      <c r="D492" s="12">
        <v>846.94</v>
      </c>
      <c r="E492" s="11">
        <v>1</v>
      </c>
      <c r="F492" s="11" t="s">
        <v>13</v>
      </c>
      <c r="G492" s="11" t="s">
        <v>128</v>
      </c>
      <c r="H492" s="11" t="s">
        <v>120</v>
      </c>
      <c r="I492" s="11">
        <v>40.349457000000001</v>
      </c>
      <c r="J492" s="11">
        <v>-88.986136999999999</v>
      </c>
      <c r="K492" s="11" t="s">
        <v>48</v>
      </c>
      <c r="L492" s="13">
        <v>45295</v>
      </c>
      <c r="M492" s="13">
        <f>DATEVALUE(TEXT(L492,"mm/dd/yy"))</f>
        <v>45295</v>
      </c>
      <c r="N492" s="12">
        <f>'Electronic Shop Sales Dataset'!$D492*'Electronic Shop Sales Dataset'!$E492</f>
        <v>846.94</v>
      </c>
      <c r="O492" s="12" cm="1">
        <f t="array" ref="O492">_xlfn.IFS($K492="Website",$N492*0.05, $K492="Mobile App",$N492*0.05,TRUE,0)</f>
        <v>42.347000000000008</v>
      </c>
      <c r="P492" s="14" t="str">
        <f>IF(COUNTIF($G$2:G1067,G492)&gt;1,"Returning","New")</f>
        <v>New</v>
      </c>
      <c r="Q492" s="24" t="str">
        <f t="shared" si="7"/>
        <v>January</v>
      </c>
      <c r="R492" t="str">
        <v>New Arrival</v>
      </c>
    </row>
    <row r="493" spans="1:18" x14ac:dyDescent="0.25">
      <c r="A493" s="15" t="s">
        <v>38</v>
      </c>
      <c r="B493" s="16" t="str">
        <f>'Electronic Shop Sales Dataset'!$A493&amp;"-"&amp;'Electronic Shop Sales Dataset'!$C493</f>
        <v>P00007-Headphones</v>
      </c>
      <c r="C493" s="16" t="s">
        <v>55</v>
      </c>
      <c r="D493" s="17">
        <v>231.24</v>
      </c>
      <c r="E493" s="16">
        <v>2</v>
      </c>
      <c r="F493" s="16" t="s">
        <v>33</v>
      </c>
      <c r="G493" s="16" t="s">
        <v>131</v>
      </c>
      <c r="H493" s="16" t="s">
        <v>103</v>
      </c>
      <c r="I493" s="16">
        <v>43.326618000000003</v>
      </c>
      <c r="J493" s="16">
        <v>-84.536095000000003</v>
      </c>
      <c r="K493" s="16" t="s">
        <v>23</v>
      </c>
      <c r="L493" s="18">
        <v>45295</v>
      </c>
      <c r="M493" s="13">
        <f>DATEVALUE(TEXT(L493,"mm/dd/yy"))</f>
        <v>45295</v>
      </c>
      <c r="N493" s="17">
        <f>'Electronic Shop Sales Dataset'!$D493*'Electronic Shop Sales Dataset'!$E493</f>
        <v>462.48</v>
      </c>
      <c r="O493" s="12" cm="1">
        <f t="array" ref="O493">_xlfn.IFS($K493="Website",$N493*0.05, $K493="Mobile App",$N493*0.05,TRUE,0)</f>
        <v>0</v>
      </c>
      <c r="P493" s="14" t="str">
        <f>IF(COUNTIF($G$2:G1068,G493)&gt;1,"Returning","New")</f>
        <v>New</v>
      </c>
      <c r="Q493" s="24" t="str">
        <f t="shared" si="7"/>
        <v>January</v>
      </c>
      <c r="R493" t="str">
        <v>New Arrival</v>
      </c>
    </row>
    <row r="494" spans="1:18" x14ac:dyDescent="0.25">
      <c r="A494" s="10" t="s">
        <v>11</v>
      </c>
      <c r="B494" s="11" t="str">
        <f>'Electronic Shop Sales Dataset'!$A494&amp;"-"&amp;'Electronic Shop Sales Dataset'!$C494</f>
        <v>P00019-Drone</v>
      </c>
      <c r="C494" s="11" t="s">
        <v>20</v>
      </c>
      <c r="D494" s="12">
        <v>2237.44</v>
      </c>
      <c r="E494" s="11">
        <v>3</v>
      </c>
      <c r="F494" s="11" t="s">
        <v>13</v>
      </c>
      <c r="G494" s="11" t="s">
        <v>133</v>
      </c>
      <c r="H494" s="11" t="s">
        <v>75</v>
      </c>
      <c r="I494" s="11">
        <v>39.059811000000003</v>
      </c>
      <c r="J494" s="11">
        <v>-105.311104</v>
      </c>
      <c r="K494" s="11" t="s">
        <v>48</v>
      </c>
      <c r="L494" s="13">
        <v>45295</v>
      </c>
      <c r="M494" s="13">
        <f>DATEVALUE(TEXT(L494,"mm/dd/yy"))</f>
        <v>45295</v>
      </c>
      <c r="N494" s="12">
        <f>'Electronic Shop Sales Dataset'!$D494*'Electronic Shop Sales Dataset'!$E494</f>
        <v>6712.32</v>
      </c>
      <c r="O494" s="12" cm="1">
        <f t="array" ref="O494">_xlfn.IFS($K494="Website",$N494*0.05, $K494="Mobile App",$N494*0.05,TRUE,0)</f>
        <v>335.61599999999999</v>
      </c>
      <c r="P494" s="14" t="str">
        <f>IF(COUNTIF($G$2:G1069,G494)&gt;1,"Returning","New")</f>
        <v>New</v>
      </c>
      <c r="Q494" s="24" t="str">
        <f t="shared" si="7"/>
        <v>January</v>
      </c>
      <c r="R494" t="str">
        <v>New Arrival</v>
      </c>
    </row>
    <row r="495" spans="1:18" x14ac:dyDescent="0.25">
      <c r="A495" s="15" t="s">
        <v>69</v>
      </c>
      <c r="B495" s="16" t="str">
        <f>'Electronic Shop Sales Dataset'!$A495&amp;"-"&amp;'Electronic Shop Sales Dataset'!$C495</f>
        <v>P00005-Graphics Card</v>
      </c>
      <c r="C495" s="16" t="s">
        <v>125</v>
      </c>
      <c r="D495" s="17">
        <v>1448.45</v>
      </c>
      <c r="E495" s="16">
        <v>2</v>
      </c>
      <c r="F495" s="16" t="s">
        <v>21</v>
      </c>
      <c r="G495" s="16" t="s">
        <v>134</v>
      </c>
      <c r="H495" s="16" t="s">
        <v>53</v>
      </c>
      <c r="I495" s="16">
        <v>40.298904</v>
      </c>
      <c r="J495" s="16">
        <v>-74.521011000000001</v>
      </c>
      <c r="K495" s="16" t="s">
        <v>48</v>
      </c>
      <c r="L495" s="18">
        <v>45295</v>
      </c>
      <c r="M495" s="13">
        <f>DATEVALUE(TEXT(L495,"mm/dd/yy"))</f>
        <v>45295</v>
      </c>
      <c r="N495" s="17">
        <f>'Electronic Shop Sales Dataset'!$D495*'Electronic Shop Sales Dataset'!$E495</f>
        <v>2896.9</v>
      </c>
      <c r="O495" s="12" cm="1">
        <f t="array" ref="O495">_xlfn.IFS($K495="Website",$N495*0.05, $K495="Mobile App",$N495*0.05,TRUE,0)</f>
        <v>144.845</v>
      </c>
      <c r="P495" s="14" t="str">
        <f>IF(COUNTIF($G$2:G1070,G495)&gt;1,"Returning","New")</f>
        <v>New</v>
      </c>
      <c r="Q495" s="24" t="str">
        <f t="shared" si="7"/>
        <v>January</v>
      </c>
      <c r="R495" t="str">
        <v>New Arrival</v>
      </c>
    </row>
    <row r="496" spans="1:18" x14ac:dyDescent="0.25">
      <c r="A496" s="10" t="s">
        <v>19</v>
      </c>
      <c r="B496" s="11" t="str">
        <f>'Electronic Shop Sales Dataset'!$A496&amp;"-"&amp;'Electronic Shop Sales Dataset'!$C496</f>
        <v>P00003-Hard Disk</v>
      </c>
      <c r="C496" s="11" t="s">
        <v>97</v>
      </c>
      <c r="D496" s="12">
        <v>144.57</v>
      </c>
      <c r="E496" s="11">
        <v>5</v>
      </c>
      <c r="F496" s="11" t="s">
        <v>21</v>
      </c>
      <c r="G496" s="11" t="s">
        <v>135</v>
      </c>
      <c r="H496" s="11" t="s">
        <v>115</v>
      </c>
      <c r="I496" s="11">
        <v>38.456085000000002</v>
      </c>
      <c r="J496" s="11">
        <v>-92.288368000000006</v>
      </c>
      <c r="K496" s="11" t="s">
        <v>54</v>
      </c>
      <c r="L496" s="13">
        <v>45295</v>
      </c>
      <c r="M496" s="13">
        <f>DATEVALUE(TEXT(L496,"mm/dd/yy"))</f>
        <v>45295</v>
      </c>
      <c r="N496" s="12">
        <f>'Electronic Shop Sales Dataset'!$D496*'Electronic Shop Sales Dataset'!$E496</f>
        <v>722.84999999999991</v>
      </c>
      <c r="O496" s="12" cm="1">
        <f t="array" ref="O496">_xlfn.IFS($K496="Website",$N496*0.05, $K496="Mobile App",$N496*0.05,TRUE,0)</f>
        <v>36.142499999999998</v>
      </c>
      <c r="P496" s="14" t="str">
        <f>IF(COUNTIF($G$2:G1071,G496)&gt;1,"Returning","New")</f>
        <v>New</v>
      </c>
      <c r="Q496" s="24" t="str">
        <f t="shared" si="7"/>
        <v>January</v>
      </c>
      <c r="R496" t="str">
        <v>New Arrival</v>
      </c>
    </row>
    <row r="497" spans="1:18" x14ac:dyDescent="0.25">
      <c r="A497" s="15" t="s">
        <v>60</v>
      </c>
      <c r="B497" s="16" t="str">
        <f>'Electronic Shop Sales Dataset'!$A497&amp;"-"&amp;'Electronic Shop Sales Dataset'!$C497</f>
        <v>P00015-Drone</v>
      </c>
      <c r="C497" s="16" t="s">
        <v>20</v>
      </c>
      <c r="D497" s="17">
        <v>2018.47</v>
      </c>
      <c r="E497" s="16">
        <v>2</v>
      </c>
      <c r="F497" s="16" t="s">
        <v>13</v>
      </c>
      <c r="G497" s="16" t="s">
        <v>136</v>
      </c>
      <c r="H497" s="16" t="s">
        <v>112</v>
      </c>
      <c r="I497" s="16">
        <v>39.063946000000001</v>
      </c>
      <c r="J497" s="16">
        <v>-76.802100999999993</v>
      </c>
      <c r="K497" s="16" t="s">
        <v>23</v>
      </c>
      <c r="L497" s="18">
        <v>45296</v>
      </c>
      <c r="M497" s="13">
        <f>DATEVALUE(TEXT(L497,"mm/dd/yy"))</f>
        <v>45296</v>
      </c>
      <c r="N497" s="17">
        <f>'Electronic Shop Sales Dataset'!$D497*'Electronic Shop Sales Dataset'!$E497</f>
        <v>4036.94</v>
      </c>
      <c r="O497" s="12" cm="1">
        <f t="array" ref="O497">_xlfn.IFS($K497="Website",$N497*0.05, $K497="Mobile App",$N497*0.05,TRUE,0)</f>
        <v>0</v>
      </c>
      <c r="P497" s="14" t="str">
        <f>IF(COUNTIF($G$2:G1072,G497)&gt;1,"Returning","New")</f>
        <v>New</v>
      </c>
      <c r="Q497" s="24" t="str">
        <f t="shared" si="7"/>
        <v>January</v>
      </c>
      <c r="R497" t="str">
        <v>New Arrival</v>
      </c>
    </row>
    <row r="498" spans="1:18" x14ac:dyDescent="0.25">
      <c r="A498" s="10" t="s">
        <v>51</v>
      </c>
      <c r="B498" s="11" t="str">
        <f>'Electronic Shop Sales Dataset'!$A498&amp;"-"&amp;'Electronic Shop Sales Dataset'!$C498</f>
        <v>P00017-USB Drive</v>
      </c>
      <c r="C498" s="11" t="s">
        <v>36</v>
      </c>
      <c r="D498" s="12">
        <v>22.7</v>
      </c>
      <c r="E498" s="11">
        <v>2</v>
      </c>
      <c r="F498" s="11" t="s">
        <v>13</v>
      </c>
      <c r="G498" s="11" t="s">
        <v>137</v>
      </c>
      <c r="H498" s="11" t="s">
        <v>40</v>
      </c>
      <c r="I498" s="11">
        <v>44.572020999999999</v>
      </c>
      <c r="J498" s="11">
        <v>-122.070938</v>
      </c>
      <c r="K498" s="11" t="s">
        <v>48</v>
      </c>
      <c r="L498" s="13">
        <v>45296</v>
      </c>
      <c r="M498" s="13">
        <f>DATEVALUE(TEXT(L498,"mm/dd/yy"))</f>
        <v>45296</v>
      </c>
      <c r="N498" s="12">
        <f>'Electronic Shop Sales Dataset'!$D498*'Electronic Shop Sales Dataset'!$E498</f>
        <v>45.4</v>
      </c>
      <c r="O498" s="12" cm="1">
        <f t="array" ref="O498">_xlfn.IFS($K498="Website",$N498*0.05, $K498="Mobile App",$N498*0.05,TRUE,0)</f>
        <v>2.27</v>
      </c>
      <c r="P498" s="14" t="str">
        <f>IF(COUNTIF($G$2:G1073,G498)&gt;1,"Returning","New")</f>
        <v>New</v>
      </c>
      <c r="Q498" s="24" t="str">
        <f t="shared" si="7"/>
        <v>January</v>
      </c>
      <c r="R498" t="str">
        <v>New Arrival</v>
      </c>
    </row>
    <row r="499" spans="1:18" x14ac:dyDescent="0.25">
      <c r="A499" s="15" t="s">
        <v>51</v>
      </c>
      <c r="B499" s="16" t="str">
        <f>'Electronic Shop Sales Dataset'!$A499&amp;"-"&amp;'Electronic Shop Sales Dataset'!$C499</f>
        <v>P00017-Hard Disk</v>
      </c>
      <c r="C499" s="16" t="s">
        <v>97</v>
      </c>
      <c r="D499" s="17">
        <v>106.91</v>
      </c>
      <c r="E499" s="16">
        <v>5</v>
      </c>
      <c r="F499" s="16" t="s">
        <v>13</v>
      </c>
      <c r="G499" s="16" t="s">
        <v>138</v>
      </c>
      <c r="H499" s="16" t="s">
        <v>85</v>
      </c>
      <c r="I499" s="16">
        <v>31.169546</v>
      </c>
      <c r="J499" s="16">
        <v>-91.867805000000004</v>
      </c>
      <c r="K499" s="16" t="s">
        <v>15</v>
      </c>
      <c r="L499" s="18">
        <v>45296</v>
      </c>
      <c r="M499" s="13">
        <f>DATEVALUE(TEXT(L499,"mm/dd/yy"))</f>
        <v>45296</v>
      </c>
      <c r="N499" s="17">
        <f>'Electronic Shop Sales Dataset'!$D499*'Electronic Shop Sales Dataset'!$E499</f>
        <v>534.54999999999995</v>
      </c>
      <c r="O499" s="12" cm="1">
        <f t="array" ref="O499">_xlfn.IFS($K499="Website",$N499*0.05, $K499="Mobile App",$N499*0.05,TRUE,0)</f>
        <v>0</v>
      </c>
      <c r="P499" s="14" t="str">
        <f>IF(COUNTIF($G$2:G1074,G499)&gt;1,"Returning","New")</f>
        <v>New</v>
      </c>
      <c r="Q499" s="24" t="str">
        <f t="shared" si="7"/>
        <v>January</v>
      </c>
      <c r="R499" t="str">
        <v>New Arrival</v>
      </c>
    </row>
    <row r="500" spans="1:18" x14ac:dyDescent="0.25">
      <c r="A500" s="10" t="s">
        <v>24</v>
      </c>
      <c r="B500" s="11" t="str">
        <f>'Electronic Shop Sales Dataset'!$A500&amp;"-"&amp;'Electronic Shop Sales Dataset'!$C500</f>
        <v>P00013-Mouse</v>
      </c>
      <c r="C500" s="11" t="s">
        <v>95</v>
      </c>
      <c r="D500" s="12">
        <v>38.46</v>
      </c>
      <c r="E500" s="11">
        <v>2</v>
      </c>
      <c r="F500" s="11" t="s">
        <v>43</v>
      </c>
      <c r="G500" s="11" t="s">
        <v>139</v>
      </c>
      <c r="H500" s="11" t="s">
        <v>78</v>
      </c>
      <c r="I500" s="11">
        <v>31.054487000000002</v>
      </c>
      <c r="J500" s="11">
        <v>-97.563461000000004</v>
      </c>
      <c r="K500" s="11" t="s">
        <v>23</v>
      </c>
      <c r="L500" s="13">
        <v>45296</v>
      </c>
      <c r="M500" s="13">
        <f>DATEVALUE(TEXT(L500,"mm/dd/yy"))</f>
        <v>45296</v>
      </c>
      <c r="N500" s="12">
        <f>'Electronic Shop Sales Dataset'!$D500*'Electronic Shop Sales Dataset'!$E500</f>
        <v>76.92</v>
      </c>
      <c r="O500" s="12" cm="1">
        <f t="array" ref="O500">_xlfn.IFS($K500="Website",$N500*0.05, $K500="Mobile App",$N500*0.05,TRUE,0)</f>
        <v>0</v>
      </c>
      <c r="P500" s="14" t="str">
        <f>IF(COUNTIF($G$2:G1075,G500)&gt;1,"Returning","New")</f>
        <v>New</v>
      </c>
      <c r="Q500" s="24" t="str">
        <f t="shared" si="7"/>
        <v>January</v>
      </c>
      <c r="R500" t="str">
        <v>New Arrival</v>
      </c>
    </row>
    <row r="501" spans="1:18" x14ac:dyDescent="0.25">
      <c r="A501" s="15" t="s">
        <v>58</v>
      </c>
      <c r="B501" s="16" t="str">
        <f>'Electronic Shop Sales Dataset'!$A501&amp;"-"&amp;'Electronic Shop Sales Dataset'!$C501</f>
        <v>P00009-Graphics Card</v>
      </c>
      <c r="C501" s="16" t="s">
        <v>125</v>
      </c>
      <c r="D501" s="17">
        <v>601.62</v>
      </c>
      <c r="E501" s="16">
        <v>4</v>
      </c>
      <c r="F501" s="16" t="s">
        <v>33</v>
      </c>
      <c r="G501" s="16" t="s">
        <v>140</v>
      </c>
      <c r="H501" s="16" t="s">
        <v>82</v>
      </c>
      <c r="I501" s="16">
        <v>44.268543000000001</v>
      </c>
      <c r="J501" s="16">
        <v>-89.616507999999996</v>
      </c>
      <c r="K501" s="16" t="s">
        <v>15</v>
      </c>
      <c r="L501" s="18">
        <v>45297</v>
      </c>
      <c r="M501" s="13">
        <f>DATEVALUE(TEXT(L501,"mm/dd/yy"))</f>
        <v>45297</v>
      </c>
      <c r="N501" s="17">
        <f>'Electronic Shop Sales Dataset'!$D501*'Electronic Shop Sales Dataset'!$E501</f>
        <v>2406.48</v>
      </c>
      <c r="O501" s="12" cm="1">
        <f t="array" ref="O501">_xlfn.IFS($K501="Website",$N501*0.05, $K501="Mobile App",$N501*0.05,TRUE,0)</f>
        <v>0</v>
      </c>
      <c r="P501" s="14" t="str">
        <f>IF(COUNTIF($G$2:G1076,G501)&gt;1,"Returning","New")</f>
        <v>New</v>
      </c>
      <c r="Q501" s="24" t="str">
        <f t="shared" si="7"/>
        <v>January</v>
      </c>
      <c r="R501" t="str">
        <v>New Arrival</v>
      </c>
    </row>
    <row r="502" spans="1:18" x14ac:dyDescent="0.25">
      <c r="A502" s="10" t="s">
        <v>58</v>
      </c>
      <c r="B502" s="11" t="str">
        <f>'Electronic Shop Sales Dataset'!$A502&amp;"-"&amp;'Electronic Shop Sales Dataset'!$C502</f>
        <v>P00009-Router</v>
      </c>
      <c r="C502" s="11" t="s">
        <v>39</v>
      </c>
      <c r="D502" s="12">
        <v>283.31</v>
      </c>
      <c r="E502" s="11">
        <v>4</v>
      </c>
      <c r="F502" s="11" t="s">
        <v>33</v>
      </c>
      <c r="G502" s="11" t="s">
        <v>141</v>
      </c>
      <c r="H502" s="11" t="s">
        <v>104</v>
      </c>
      <c r="I502" s="11">
        <v>61.370716000000002</v>
      </c>
      <c r="J502" s="11">
        <v>-152.40441899999999</v>
      </c>
      <c r="K502" s="11" t="s">
        <v>23</v>
      </c>
      <c r="L502" s="13">
        <v>45297</v>
      </c>
      <c r="M502" s="13">
        <f>DATEVALUE(TEXT(L502,"mm/dd/yy"))</f>
        <v>45297</v>
      </c>
      <c r="N502" s="12">
        <f>'Electronic Shop Sales Dataset'!$D502*'Electronic Shop Sales Dataset'!$E502</f>
        <v>1133.24</v>
      </c>
      <c r="O502" s="12" cm="1">
        <f t="array" ref="O502">_xlfn.IFS($K502="Website",$N502*0.05, $K502="Mobile App",$N502*0.05,TRUE,0)</f>
        <v>0</v>
      </c>
      <c r="P502" s="14" t="str">
        <f>IF(COUNTIF($G$2:G1077,G502)&gt;1,"Returning","New")</f>
        <v>New</v>
      </c>
      <c r="Q502" s="24" t="str">
        <f t="shared" si="7"/>
        <v>January</v>
      </c>
      <c r="R502" t="str">
        <v>New Arrival</v>
      </c>
    </row>
    <row r="503" spans="1:18" x14ac:dyDescent="0.25">
      <c r="A503" s="15" t="s">
        <v>49</v>
      </c>
      <c r="B503" s="16" t="str">
        <f>'Electronic Shop Sales Dataset'!$A503&amp;"-"&amp;'Electronic Shop Sales Dataset'!$C503</f>
        <v>P00023-Keyboard</v>
      </c>
      <c r="C503" s="16" t="s">
        <v>29</v>
      </c>
      <c r="D503" s="17">
        <v>37.21</v>
      </c>
      <c r="E503" s="16">
        <v>2</v>
      </c>
      <c r="F503" s="16" t="s">
        <v>33</v>
      </c>
      <c r="G503" s="16" t="s">
        <v>142</v>
      </c>
      <c r="H503" s="16" t="s">
        <v>122</v>
      </c>
      <c r="I503" s="16">
        <v>42.755966000000001</v>
      </c>
      <c r="J503" s="16">
        <v>-107.30249000000001</v>
      </c>
      <c r="K503" s="16" t="s">
        <v>15</v>
      </c>
      <c r="L503" s="18">
        <v>45297</v>
      </c>
      <c r="M503" s="13">
        <f>DATEVALUE(TEXT(L503,"mm/dd/yy"))</f>
        <v>45297</v>
      </c>
      <c r="N503" s="17">
        <f>'Electronic Shop Sales Dataset'!$D503*'Electronic Shop Sales Dataset'!$E503</f>
        <v>74.42</v>
      </c>
      <c r="O503" s="12" cm="1">
        <f t="array" ref="O503">_xlfn.IFS($K503="Website",$N503*0.05, $K503="Mobile App",$N503*0.05,TRUE,0)</f>
        <v>0</v>
      </c>
      <c r="P503" s="14" t="str">
        <f>IF(COUNTIF($G$2:G1078,G503)&gt;1,"Returning","New")</f>
        <v>New</v>
      </c>
      <c r="Q503" s="24" t="str">
        <f t="shared" si="7"/>
        <v>January</v>
      </c>
      <c r="R503" t="str">
        <v>New Arrival</v>
      </c>
    </row>
    <row r="504" spans="1:18" x14ac:dyDescent="0.25">
      <c r="A504" s="10" t="s">
        <v>58</v>
      </c>
      <c r="B504" s="11" t="str">
        <f>'Electronic Shop Sales Dataset'!$A504&amp;"-"&amp;'Electronic Shop Sales Dataset'!$C504</f>
        <v>P00009-Hard Disk</v>
      </c>
      <c r="C504" s="11" t="s">
        <v>97</v>
      </c>
      <c r="D504" s="12">
        <v>194.9</v>
      </c>
      <c r="E504" s="11">
        <v>1</v>
      </c>
      <c r="F504" s="11" t="s">
        <v>33</v>
      </c>
      <c r="G504" s="11" t="s">
        <v>144</v>
      </c>
      <c r="H504" s="11" t="s">
        <v>94</v>
      </c>
      <c r="I504" s="11">
        <v>41.597782000000002</v>
      </c>
      <c r="J504" s="11">
        <v>-72.755370999999997</v>
      </c>
      <c r="K504" s="11" t="s">
        <v>23</v>
      </c>
      <c r="L504" s="13">
        <v>45297</v>
      </c>
      <c r="M504" s="13">
        <f>DATEVALUE(TEXT(L504,"mm/dd/yy"))</f>
        <v>45297</v>
      </c>
      <c r="N504" s="12">
        <f>'Electronic Shop Sales Dataset'!$D504*'Electronic Shop Sales Dataset'!$E504</f>
        <v>194.9</v>
      </c>
      <c r="O504" s="12" cm="1">
        <f t="array" ref="O504">_xlfn.IFS($K504="Website",$N504*0.05, $K504="Mobile App",$N504*0.05,TRUE,0)</f>
        <v>0</v>
      </c>
      <c r="P504" s="14" t="str">
        <f>IF(COUNTIF($G$2:G1079,G504)&gt;1,"Returning","New")</f>
        <v>New</v>
      </c>
      <c r="Q504" s="24" t="str">
        <f t="shared" si="7"/>
        <v>January</v>
      </c>
      <c r="R504" t="str">
        <v>New Arrival</v>
      </c>
    </row>
    <row r="505" spans="1:18" x14ac:dyDescent="0.25">
      <c r="A505" s="15" t="s">
        <v>35</v>
      </c>
      <c r="B505" s="16" t="str">
        <f>'Electronic Shop Sales Dataset'!$A505&amp;"-"&amp;'Electronic Shop Sales Dataset'!$C505</f>
        <v>P00008-Mouse</v>
      </c>
      <c r="C505" s="16" t="s">
        <v>95</v>
      </c>
      <c r="D505" s="17">
        <v>16.940000000000001</v>
      </c>
      <c r="E505" s="16">
        <v>2</v>
      </c>
      <c r="F505" s="16" t="s">
        <v>43</v>
      </c>
      <c r="G505" s="16" t="s">
        <v>147</v>
      </c>
      <c r="H505" s="16" t="s">
        <v>91</v>
      </c>
      <c r="I505" s="16">
        <v>38.313515000000002</v>
      </c>
      <c r="J505" s="16">
        <v>-117.055374</v>
      </c>
      <c r="K505" s="16" t="s">
        <v>15</v>
      </c>
      <c r="L505" s="18">
        <v>45298</v>
      </c>
      <c r="M505" s="13">
        <f>DATEVALUE(TEXT(L505,"mm/dd/yy"))</f>
        <v>45298</v>
      </c>
      <c r="N505" s="17">
        <f>'Electronic Shop Sales Dataset'!$D505*'Electronic Shop Sales Dataset'!$E505</f>
        <v>33.880000000000003</v>
      </c>
      <c r="O505" s="12" cm="1">
        <f t="array" ref="O505">_xlfn.IFS($K505="Website",$N505*0.05, $K505="Mobile App",$N505*0.05,TRUE,0)</f>
        <v>0</v>
      </c>
      <c r="P505" s="14" t="str">
        <f>IF(COUNTIF($G$2:G1080,G505)&gt;1,"Returning","New")</f>
        <v>New</v>
      </c>
      <c r="Q505" s="24" t="str">
        <f t="shared" si="7"/>
        <v>January</v>
      </c>
      <c r="R505" t="str">
        <v>New Arrival</v>
      </c>
    </row>
    <row r="506" spans="1:18" x14ac:dyDescent="0.25">
      <c r="A506" s="10" t="s">
        <v>16</v>
      </c>
      <c r="B506" s="11" t="str">
        <f>'Electronic Shop Sales Dataset'!$A506&amp;"-"&amp;'Electronic Shop Sales Dataset'!$C506</f>
        <v>P00010-Printer</v>
      </c>
      <c r="C506" s="11" t="s">
        <v>52</v>
      </c>
      <c r="D506" s="12">
        <v>358.79</v>
      </c>
      <c r="E506" s="11">
        <v>2</v>
      </c>
      <c r="F506" s="11" t="s">
        <v>43</v>
      </c>
      <c r="G506" s="11" t="s">
        <v>148</v>
      </c>
      <c r="H506" s="11" t="s">
        <v>82</v>
      </c>
      <c r="I506" s="11">
        <v>44.268543000000001</v>
      </c>
      <c r="J506" s="11">
        <v>-89.616507999999996</v>
      </c>
      <c r="K506" s="11" t="s">
        <v>23</v>
      </c>
      <c r="L506" s="13">
        <v>45298</v>
      </c>
      <c r="M506" s="13">
        <f>DATEVALUE(TEXT(L506,"mm/dd/yy"))</f>
        <v>45298</v>
      </c>
      <c r="N506" s="12">
        <f>'Electronic Shop Sales Dataset'!$D506*'Electronic Shop Sales Dataset'!$E506</f>
        <v>717.58</v>
      </c>
      <c r="O506" s="12" cm="1">
        <f t="array" ref="O506">_xlfn.IFS($K506="Website",$N506*0.05, $K506="Mobile App",$N506*0.05,TRUE,0)</f>
        <v>0</v>
      </c>
      <c r="P506" s="14" t="str">
        <f>IF(COUNTIF($G$2:G1081,G506)&gt;1,"Returning","New")</f>
        <v>New</v>
      </c>
      <c r="Q506" s="24" t="str">
        <f t="shared" si="7"/>
        <v>January</v>
      </c>
      <c r="R506" t="str">
        <v>New Arrival</v>
      </c>
    </row>
    <row r="507" spans="1:18" x14ac:dyDescent="0.25">
      <c r="A507" s="15" t="s">
        <v>35</v>
      </c>
      <c r="B507" s="16" t="str">
        <f>'Electronic Shop Sales Dataset'!$A507&amp;"-"&amp;'Electronic Shop Sales Dataset'!$C507</f>
        <v>P00008-Monitor</v>
      </c>
      <c r="C507" s="16" t="s">
        <v>25</v>
      </c>
      <c r="D507" s="17">
        <v>758.07</v>
      </c>
      <c r="E507" s="16">
        <v>5</v>
      </c>
      <c r="F507" s="16" t="s">
        <v>21</v>
      </c>
      <c r="G507" s="16" t="s">
        <v>149</v>
      </c>
      <c r="H507" s="16" t="s">
        <v>143</v>
      </c>
      <c r="I507" s="16">
        <v>35.565342000000001</v>
      </c>
      <c r="J507" s="16">
        <v>-96.928916999999998</v>
      </c>
      <c r="K507" s="16" t="s">
        <v>54</v>
      </c>
      <c r="L507" s="18">
        <v>45298</v>
      </c>
      <c r="M507" s="13">
        <f>DATEVALUE(TEXT(L507,"mm/dd/yy"))</f>
        <v>45298</v>
      </c>
      <c r="N507" s="17">
        <f>'Electronic Shop Sales Dataset'!$D507*'Electronic Shop Sales Dataset'!$E507</f>
        <v>3790.3500000000004</v>
      </c>
      <c r="O507" s="12" cm="1">
        <f t="array" ref="O507">_xlfn.IFS($K507="Website",$N507*0.05, $K507="Mobile App",$N507*0.05,TRUE,0)</f>
        <v>189.51750000000004</v>
      </c>
      <c r="P507" s="14" t="str">
        <f>IF(COUNTIF($G$2:G1082,G507)&gt;1,"Returning","New")</f>
        <v>New</v>
      </c>
      <c r="Q507" s="24" t="str">
        <f t="shared" si="7"/>
        <v>January</v>
      </c>
      <c r="R507" t="str">
        <v>New Arrival</v>
      </c>
    </row>
    <row r="508" spans="1:18" x14ac:dyDescent="0.25">
      <c r="A508" s="10" t="s">
        <v>58</v>
      </c>
      <c r="B508" s="11" t="str">
        <f>'Electronic Shop Sales Dataset'!$A508&amp;"-"&amp;'Electronic Shop Sales Dataset'!$C508</f>
        <v>P00009-Camera</v>
      </c>
      <c r="C508" s="11" t="s">
        <v>46</v>
      </c>
      <c r="D508" s="12">
        <v>794.21</v>
      </c>
      <c r="E508" s="11">
        <v>4</v>
      </c>
      <c r="F508" s="11" t="s">
        <v>43</v>
      </c>
      <c r="G508" s="11" t="s">
        <v>150</v>
      </c>
      <c r="H508" s="11" t="s">
        <v>94</v>
      </c>
      <c r="I508" s="11">
        <v>41.597782000000002</v>
      </c>
      <c r="J508" s="11">
        <v>-72.755370999999997</v>
      </c>
      <c r="K508" s="11" t="s">
        <v>27</v>
      </c>
      <c r="L508" s="13">
        <v>45298</v>
      </c>
      <c r="M508" s="13">
        <f>DATEVALUE(TEXT(L508,"mm/dd/yy"))</f>
        <v>45298</v>
      </c>
      <c r="N508" s="12">
        <f>'Electronic Shop Sales Dataset'!$D508*'Electronic Shop Sales Dataset'!$E508</f>
        <v>3176.84</v>
      </c>
      <c r="O508" s="12" cm="1">
        <f t="array" ref="O508">_xlfn.IFS($K508="Website",$N508*0.05, $K508="Mobile App",$N508*0.05,TRUE,0)</f>
        <v>0</v>
      </c>
      <c r="P508" s="14" t="str">
        <f>IF(COUNTIF($G$2:G1083,G508)&gt;1,"Returning","New")</f>
        <v>New</v>
      </c>
      <c r="Q508" s="24" t="str">
        <f t="shared" si="7"/>
        <v>January</v>
      </c>
      <c r="R508" t="str">
        <v>New Arrival</v>
      </c>
    </row>
    <row r="509" spans="1:18" x14ac:dyDescent="0.25">
      <c r="A509" s="15" t="s">
        <v>79</v>
      </c>
      <c r="B509" s="16" t="str">
        <f>'Electronic Shop Sales Dataset'!$A509&amp;"-"&amp;'Electronic Shop Sales Dataset'!$C509</f>
        <v>P00012-Graphics Card</v>
      </c>
      <c r="C509" s="16" t="s">
        <v>125</v>
      </c>
      <c r="D509" s="17">
        <v>1519.95</v>
      </c>
      <c r="E509" s="16">
        <v>4</v>
      </c>
      <c r="F509" s="16" t="s">
        <v>43</v>
      </c>
      <c r="G509" s="16" t="s">
        <v>151</v>
      </c>
      <c r="H509" s="16" t="s">
        <v>107</v>
      </c>
      <c r="I509" s="16">
        <v>38.526600000000002</v>
      </c>
      <c r="J509" s="16">
        <v>-96.726485999999994</v>
      </c>
      <c r="K509" s="16" t="s">
        <v>15</v>
      </c>
      <c r="L509" s="18">
        <v>45298</v>
      </c>
      <c r="M509" s="13">
        <f>DATEVALUE(TEXT(L509,"mm/dd/yy"))</f>
        <v>45298</v>
      </c>
      <c r="N509" s="17">
        <f>'Electronic Shop Sales Dataset'!$D509*'Electronic Shop Sales Dataset'!$E509</f>
        <v>6079.8</v>
      </c>
      <c r="O509" s="12" cm="1">
        <f t="array" ref="O509">_xlfn.IFS($K509="Website",$N509*0.05, $K509="Mobile App",$N509*0.05,TRUE,0)</f>
        <v>0</v>
      </c>
      <c r="P509" s="14" t="str">
        <f>IF(COUNTIF($G$2:G1084,G509)&gt;1,"Returning","New")</f>
        <v>New</v>
      </c>
      <c r="Q509" s="24" t="str">
        <f t="shared" si="7"/>
        <v>January</v>
      </c>
      <c r="R509" t="str">
        <v>New Arrival</v>
      </c>
    </row>
    <row r="510" spans="1:18" x14ac:dyDescent="0.25">
      <c r="A510" s="10" t="s">
        <v>92</v>
      </c>
      <c r="B510" s="11" t="str">
        <f>'Electronic Shop Sales Dataset'!$A510&amp;"-"&amp;'Electronic Shop Sales Dataset'!$C510</f>
        <v>P00004-Tablet</v>
      </c>
      <c r="C510" s="11" t="s">
        <v>83</v>
      </c>
      <c r="D510" s="12">
        <v>232.28</v>
      </c>
      <c r="E510" s="11">
        <v>5</v>
      </c>
      <c r="F510" s="11" t="s">
        <v>13</v>
      </c>
      <c r="G510" s="11" t="s">
        <v>152</v>
      </c>
      <c r="H510" s="11" t="s">
        <v>22</v>
      </c>
      <c r="I510" s="11">
        <v>32.741646000000003</v>
      </c>
      <c r="J510" s="11">
        <v>-89.678696000000002</v>
      </c>
      <c r="K510" s="11" t="s">
        <v>23</v>
      </c>
      <c r="L510" s="13">
        <v>45298</v>
      </c>
      <c r="M510" s="13">
        <f>DATEVALUE(TEXT(L510,"mm/dd/yy"))</f>
        <v>45298</v>
      </c>
      <c r="N510" s="12">
        <f>'Electronic Shop Sales Dataset'!$D510*'Electronic Shop Sales Dataset'!$E510</f>
        <v>1161.4000000000001</v>
      </c>
      <c r="O510" s="12" cm="1">
        <f t="array" ref="O510">_xlfn.IFS($K510="Website",$N510*0.05, $K510="Mobile App",$N510*0.05,TRUE,0)</f>
        <v>0</v>
      </c>
      <c r="P510" s="14" t="str">
        <f>IF(COUNTIF($G$2:G1085,G510)&gt;1,"Returning","New")</f>
        <v>New</v>
      </c>
      <c r="Q510" s="24" t="str">
        <f t="shared" si="7"/>
        <v>January</v>
      </c>
      <c r="R510" t="str">
        <v>New Arrival</v>
      </c>
    </row>
    <row r="511" spans="1:18" x14ac:dyDescent="0.25">
      <c r="A511" s="15" t="s">
        <v>86</v>
      </c>
      <c r="B511" s="16" t="str">
        <f>'Electronic Shop Sales Dataset'!$A511&amp;"-"&amp;'Electronic Shop Sales Dataset'!$C511</f>
        <v>P00021-Graphics Card</v>
      </c>
      <c r="C511" s="16" t="s">
        <v>125</v>
      </c>
      <c r="D511" s="17">
        <v>791.8</v>
      </c>
      <c r="E511" s="16">
        <v>1</v>
      </c>
      <c r="F511" s="16" t="s">
        <v>33</v>
      </c>
      <c r="G511" s="16" t="s">
        <v>153</v>
      </c>
      <c r="H511" s="16" t="s">
        <v>109</v>
      </c>
      <c r="I511" s="16">
        <v>44.299782</v>
      </c>
      <c r="J511" s="16">
        <v>-99.438828000000001</v>
      </c>
      <c r="K511" s="16" t="s">
        <v>23</v>
      </c>
      <c r="L511" s="18">
        <v>45298</v>
      </c>
      <c r="M511" s="13">
        <f>DATEVALUE(TEXT(L511,"mm/dd/yy"))</f>
        <v>45298</v>
      </c>
      <c r="N511" s="17">
        <f>'Electronic Shop Sales Dataset'!$D511*'Electronic Shop Sales Dataset'!$E511</f>
        <v>791.8</v>
      </c>
      <c r="O511" s="12" cm="1">
        <f t="array" ref="O511">_xlfn.IFS($K511="Website",$N511*0.05, $K511="Mobile App",$N511*0.05,TRUE,0)</f>
        <v>0</v>
      </c>
      <c r="P511" s="14" t="str">
        <f>IF(COUNTIF($G$2:G1086,G511)&gt;1,"Returning","New")</f>
        <v>New</v>
      </c>
      <c r="Q511" s="24" t="str">
        <f t="shared" si="7"/>
        <v>January</v>
      </c>
      <c r="R511" t="str">
        <v>New Arrival</v>
      </c>
    </row>
    <row r="512" spans="1:18" x14ac:dyDescent="0.25">
      <c r="A512" s="10" t="s">
        <v>61</v>
      </c>
      <c r="B512" s="11" t="str">
        <f>'Electronic Shop Sales Dataset'!$A512&amp;"-"&amp;'Electronic Shop Sales Dataset'!$C512</f>
        <v>P00002-Smart Home Hub</v>
      </c>
      <c r="C512" s="11" t="s">
        <v>42</v>
      </c>
      <c r="D512" s="12">
        <v>316.37</v>
      </c>
      <c r="E512" s="11">
        <v>1</v>
      </c>
      <c r="F512" s="11" t="s">
        <v>43</v>
      </c>
      <c r="G512" s="11" t="s">
        <v>154</v>
      </c>
      <c r="H512" s="11" t="s">
        <v>116</v>
      </c>
      <c r="I512" s="11">
        <v>43.452491999999999</v>
      </c>
      <c r="J512" s="11">
        <v>-71.563896</v>
      </c>
      <c r="K512" s="11" t="s">
        <v>48</v>
      </c>
      <c r="L512" s="13">
        <v>45299</v>
      </c>
      <c r="M512" s="13">
        <f>DATEVALUE(TEXT(L512,"mm/dd/yy"))</f>
        <v>45299</v>
      </c>
      <c r="N512" s="12">
        <f>'Electronic Shop Sales Dataset'!$D512*'Electronic Shop Sales Dataset'!$E512</f>
        <v>316.37</v>
      </c>
      <c r="O512" s="12" cm="1">
        <f t="array" ref="O512">_xlfn.IFS($K512="Website",$N512*0.05, $K512="Mobile App",$N512*0.05,TRUE,0)</f>
        <v>15.8185</v>
      </c>
      <c r="P512" s="14" t="str">
        <f>IF(COUNTIF($G$2:G1087,G512)&gt;1,"Returning","New")</f>
        <v>New</v>
      </c>
      <c r="Q512" s="24" t="str">
        <f t="shared" si="7"/>
        <v>January</v>
      </c>
      <c r="R512" t="str">
        <v>New Arrival</v>
      </c>
    </row>
    <row r="513" spans="1:18" x14ac:dyDescent="0.25">
      <c r="A513" s="15" t="s">
        <v>84</v>
      </c>
      <c r="B513" s="16" t="str">
        <f>'Electronic Shop Sales Dataset'!$A513&amp;"-"&amp;'Electronic Shop Sales Dataset'!$C513</f>
        <v>P00020-Smart Home Hub</v>
      </c>
      <c r="C513" s="16" t="s">
        <v>42</v>
      </c>
      <c r="D513" s="17">
        <v>415.49</v>
      </c>
      <c r="E513" s="16">
        <v>4</v>
      </c>
      <c r="F513" s="16" t="s">
        <v>33</v>
      </c>
      <c r="G513" s="16" t="s">
        <v>157</v>
      </c>
      <c r="H513" s="16" t="s">
        <v>101</v>
      </c>
      <c r="I513" s="16">
        <v>21.094318000000001</v>
      </c>
      <c r="J513" s="16">
        <v>-157.49833699999999</v>
      </c>
      <c r="K513" s="16" t="s">
        <v>54</v>
      </c>
      <c r="L513" s="18">
        <v>45299</v>
      </c>
      <c r="M513" s="13">
        <f>DATEVALUE(TEXT(L513,"mm/dd/yy"))</f>
        <v>45299</v>
      </c>
      <c r="N513" s="17">
        <f>'Electronic Shop Sales Dataset'!$D513*'Electronic Shop Sales Dataset'!$E513</f>
        <v>1661.96</v>
      </c>
      <c r="O513" s="12" cm="1">
        <f t="array" ref="O513">_xlfn.IFS($K513="Website",$N513*0.05, $K513="Mobile App",$N513*0.05,TRUE,0)</f>
        <v>83.098000000000013</v>
      </c>
      <c r="P513" s="14" t="str">
        <f>IF(COUNTIF($G$2:G1088,G513)&gt;1,"Returning","New")</f>
        <v>New</v>
      </c>
      <c r="Q513" s="24" t="str">
        <f t="shared" si="7"/>
        <v>January</v>
      </c>
      <c r="R513" t="str">
        <v>New Arrival</v>
      </c>
    </row>
    <row r="514" spans="1:18" x14ac:dyDescent="0.25">
      <c r="A514" s="10" t="s">
        <v>92</v>
      </c>
      <c r="B514" s="11" t="str">
        <f>'Electronic Shop Sales Dataset'!$A514&amp;"-"&amp;'Electronic Shop Sales Dataset'!$C514</f>
        <v>P00004-Monitor</v>
      </c>
      <c r="C514" s="11" t="s">
        <v>25</v>
      </c>
      <c r="D514" s="12">
        <v>790.15</v>
      </c>
      <c r="E514" s="11">
        <v>5</v>
      </c>
      <c r="F514" s="11" t="s">
        <v>13</v>
      </c>
      <c r="G514" s="11" t="s">
        <v>159</v>
      </c>
      <c r="H514" s="11" t="s">
        <v>40</v>
      </c>
      <c r="I514" s="11">
        <v>44.572020999999999</v>
      </c>
      <c r="J514" s="11">
        <v>-122.070938</v>
      </c>
      <c r="K514" s="11" t="s">
        <v>54</v>
      </c>
      <c r="L514" s="13">
        <v>45299</v>
      </c>
      <c r="M514" s="13">
        <f>DATEVALUE(TEXT(L514,"mm/dd/yy"))</f>
        <v>45299</v>
      </c>
      <c r="N514" s="12">
        <f>'Electronic Shop Sales Dataset'!$D514*'Electronic Shop Sales Dataset'!$E514</f>
        <v>3950.75</v>
      </c>
      <c r="O514" s="12" cm="1">
        <f t="array" ref="O514">_xlfn.IFS($K514="Website",$N514*0.05, $K514="Mobile App",$N514*0.05,TRUE,0)</f>
        <v>197.53750000000002</v>
      </c>
      <c r="P514" s="14" t="str">
        <f>IF(COUNTIF($G$2:G1089,G514)&gt;1,"Returning","New")</f>
        <v>New</v>
      </c>
      <c r="Q514" s="24" t="str">
        <f t="shared" si="7"/>
        <v>January</v>
      </c>
      <c r="R514" t="str">
        <v>New Arrival</v>
      </c>
    </row>
    <row r="515" spans="1:18" x14ac:dyDescent="0.25">
      <c r="A515" s="15" t="s">
        <v>79</v>
      </c>
      <c r="B515" s="16" t="str">
        <f>'Electronic Shop Sales Dataset'!$A515&amp;"-"&amp;'Electronic Shop Sales Dataset'!$C515</f>
        <v>P00012-Scanner</v>
      </c>
      <c r="C515" s="16" t="s">
        <v>71</v>
      </c>
      <c r="D515" s="17">
        <v>380.85</v>
      </c>
      <c r="E515" s="16">
        <v>3</v>
      </c>
      <c r="F515" s="16" t="s">
        <v>21</v>
      </c>
      <c r="G515" s="16" t="s">
        <v>160</v>
      </c>
      <c r="H515" s="16" t="s">
        <v>96</v>
      </c>
      <c r="I515" s="16">
        <v>42.011538999999999</v>
      </c>
      <c r="J515" s="16">
        <v>-93.210526000000002</v>
      </c>
      <c r="K515" s="16" t="s">
        <v>23</v>
      </c>
      <c r="L515" s="18">
        <v>45300</v>
      </c>
      <c r="M515" s="13">
        <f>DATEVALUE(TEXT(L515,"mm/dd/yy"))</f>
        <v>45300</v>
      </c>
      <c r="N515" s="17">
        <f>'Electronic Shop Sales Dataset'!$D515*'Electronic Shop Sales Dataset'!$E515</f>
        <v>1142.5500000000002</v>
      </c>
      <c r="O515" s="12" cm="1">
        <f t="array" ref="O515">_xlfn.IFS($K515="Website",$N515*0.05, $K515="Mobile App",$N515*0.05,TRUE,0)</f>
        <v>0</v>
      </c>
      <c r="P515" s="14" t="str">
        <f>IF(COUNTIF($G$2:G1090,G515)&gt;1,"Returning","New")</f>
        <v>New</v>
      </c>
      <c r="Q515" s="24" t="str">
        <f t="shared" ref="Q515:Q577" si="8">TEXT(M515,"mmmm")</f>
        <v>January</v>
      </c>
      <c r="R515" t="str">
        <v>New Arrival</v>
      </c>
    </row>
    <row r="516" spans="1:18" x14ac:dyDescent="0.25">
      <c r="A516" s="10" t="s">
        <v>61</v>
      </c>
      <c r="B516" s="11" t="str">
        <f>'Electronic Shop Sales Dataset'!$A516&amp;"-"&amp;'Electronic Shop Sales Dataset'!$C516</f>
        <v>P00002-Router</v>
      </c>
      <c r="C516" s="11" t="s">
        <v>39</v>
      </c>
      <c r="D516" s="12">
        <v>173.27</v>
      </c>
      <c r="E516" s="11">
        <v>3</v>
      </c>
      <c r="F516" s="11" t="s">
        <v>13</v>
      </c>
      <c r="G516" s="11" t="s">
        <v>161</v>
      </c>
      <c r="H516" s="11" t="s">
        <v>107</v>
      </c>
      <c r="I516" s="11">
        <v>38.526600000000002</v>
      </c>
      <c r="J516" s="11">
        <v>-96.726485999999994</v>
      </c>
      <c r="K516" s="11" t="s">
        <v>23</v>
      </c>
      <c r="L516" s="13">
        <v>45301</v>
      </c>
      <c r="M516" s="13">
        <f>DATEVALUE(TEXT(L516,"mm/dd/yy"))</f>
        <v>45301</v>
      </c>
      <c r="N516" s="12">
        <f>'Electronic Shop Sales Dataset'!$D516*'Electronic Shop Sales Dataset'!$E516</f>
        <v>519.81000000000006</v>
      </c>
      <c r="O516" s="12" cm="1">
        <f t="array" ref="O516">_xlfn.IFS($K516="Website",$N516*0.05, $K516="Mobile App",$N516*0.05,TRUE,0)</f>
        <v>0</v>
      </c>
      <c r="P516" s="14" t="str">
        <f>IF(COUNTIF($G$2:G1091,G516)&gt;1,"Returning","New")</f>
        <v>New</v>
      </c>
      <c r="Q516" s="24" t="str">
        <f t="shared" si="8"/>
        <v>January</v>
      </c>
      <c r="R516" t="str">
        <v>New Arrival</v>
      </c>
    </row>
    <row r="517" spans="1:18" x14ac:dyDescent="0.25">
      <c r="A517" s="15" t="s">
        <v>88</v>
      </c>
      <c r="B517" s="16" t="str">
        <f>'Electronic Shop Sales Dataset'!$A517&amp;"-"&amp;'Electronic Shop Sales Dataset'!$C517</f>
        <v>P00018-Projector</v>
      </c>
      <c r="C517" s="16" t="s">
        <v>65</v>
      </c>
      <c r="D517" s="17">
        <v>369.73</v>
      </c>
      <c r="E517" s="16">
        <v>1</v>
      </c>
      <c r="F517" s="16" t="s">
        <v>43</v>
      </c>
      <c r="G517" s="16" t="s">
        <v>162</v>
      </c>
      <c r="H517" s="16" t="s">
        <v>78</v>
      </c>
      <c r="I517" s="16">
        <v>31.054487000000002</v>
      </c>
      <c r="J517" s="16">
        <v>-97.563461000000004</v>
      </c>
      <c r="K517" s="16" t="s">
        <v>48</v>
      </c>
      <c r="L517" s="18">
        <v>45301</v>
      </c>
      <c r="M517" s="13">
        <f>DATEVALUE(TEXT(L517,"mm/dd/yy"))</f>
        <v>45301</v>
      </c>
      <c r="N517" s="17">
        <f>'Electronic Shop Sales Dataset'!$D517*'Electronic Shop Sales Dataset'!$E517</f>
        <v>369.73</v>
      </c>
      <c r="O517" s="12" cm="1">
        <f t="array" ref="O517">_xlfn.IFS($K517="Website",$N517*0.05, $K517="Mobile App",$N517*0.05,TRUE,0)</f>
        <v>18.486500000000003</v>
      </c>
      <c r="P517" s="14" t="str">
        <f>IF(COUNTIF($G$2:G1092,G517)&gt;1,"Returning","New")</f>
        <v>New</v>
      </c>
      <c r="Q517" s="24" t="str">
        <f t="shared" si="8"/>
        <v>January</v>
      </c>
      <c r="R517" t="str">
        <v>New Arrival</v>
      </c>
    </row>
    <row r="518" spans="1:18" x14ac:dyDescent="0.25">
      <c r="A518" s="10" t="s">
        <v>28</v>
      </c>
      <c r="B518" s="11" t="str">
        <f>'Electronic Shop Sales Dataset'!$A518&amp;"-"&amp;'Electronic Shop Sales Dataset'!$C518</f>
        <v>P00006-Tablet</v>
      </c>
      <c r="C518" s="11" t="s">
        <v>83</v>
      </c>
      <c r="D518" s="12">
        <v>247.26</v>
      </c>
      <c r="E518" s="11">
        <v>3</v>
      </c>
      <c r="F518" s="11" t="s">
        <v>21</v>
      </c>
      <c r="G518" s="11" t="s">
        <v>163</v>
      </c>
      <c r="H518" s="11" t="s">
        <v>77</v>
      </c>
      <c r="I518" s="11">
        <v>44.693947000000001</v>
      </c>
      <c r="J518" s="11">
        <v>-69.381927000000005</v>
      </c>
      <c r="K518" s="11" t="s">
        <v>54</v>
      </c>
      <c r="L518" s="13">
        <v>45302</v>
      </c>
      <c r="M518" s="13">
        <f>DATEVALUE(TEXT(L518,"mm/dd/yy"))</f>
        <v>45302</v>
      </c>
      <c r="N518" s="12">
        <f>'Electronic Shop Sales Dataset'!$D518*'Electronic Shop Sales Dataset'!$E518</f>
        <v>741.78</v>
      </c>
      <c r="O518" s="12" cm="1">
        <f t="array" ref="O518">_xlfn.IFS($K518="Website",$N518*0.05, $K518="Mobile App",$N518*0.05,TRUE,0)</f>
        <v>37.088999999999999</v>
      </c>
      <c r="P518" s="14" t="str">
        <f>IF(COUNTIF($G$2:G1093,G518)&gt;1,"Returning","New")</f>
        <v>New</v>
      </c>
      <c r="Q518" s="24" t="str">
        <f t="shared" si="8"/>
        <v>January</v>
      </c>
      <c r="R518" t="str">
        <v>New Arrival</v>
      </c>
    </row>
    <row r="519" spans="1:18" x14ac:dyDescent="0.25">
      <c r="A519" s="15" t="s">
        <v>28</v>
      </c>
      <c r="B519" s="16" t="str">
        <f>'Electronic Shop Sales Dataset'!$A519&amp;"-"&amp;'Electronic Shop Sales Dataset'!$C519</f>
        <v>P00006-VR Headset</v>
      </c>
      <c r="C519" s="16" t="s">
        <v>72</v>
      </c>
      <c r="D519" s="17">
        <v>725.6</v>
      </c>
      <c r="E519" s="16">
        <v>1</v>
      </c>
      <c r="F519" s="16" t="s">
        <v>33</v>
      </c>
      <c r="G519" s="16" t="s">
        <v>164</v>
      </c>
      <c r="H519" s="16" t="s">
        <v>87</v>
      </c>
      <c r="I519" s="16">
        <v>33.729759000000001</v>
      </c>
      <c r="J519" s="16">
        <v>-111.43122099999999</v>
      </c>
      <c r="K519" s="16" t="s">
        <v>15</v>
      </c>
      <c r="L519" s="18">
        <v>45302</v>
      </c>
      <c r="M519" s="13">
        <f>DATEVALUE(TEXT(L519,"mm/dd/yy"))</f>
        <v>45302</v>
      </c>
      <c r="N519" s="17">
        <f>'Electronic Shop Sales Dataset'!$D519*'Electronic Shop Sales Dataset'!$E519</f>
        <v>725.6</v>
      </c>
      <c r="O519" s="12" cm="1">
        <f t="array" ref="O519">_xlfn.IFS($K519="Website",$N519*0.05, $K519="Mobile App",$N519*0.05,TRUE,0)</f>
        <v>0</v>
      </c>
      <c r="P519" s="14" t="str">
        <f>IF(COUNTIF($G$2:G1094,G519)&gt;1,"Returning","New")</f>
        <v>New</v>
      </c>
      <c r="Q519" s="24" t="str">
        <f t="shared" si="8"/>
        <v>January</v>
      </c>
      <c r="R519" t="str">
        <v>New Arrival</v>
      </c>
    </row>
    <row r="520" spans="1:18" x14ac:dyDescent="0.25">
      <c r="A520" s="10" t="s">
        <v>19</v>
      </c>
      <c r="B520" s="11" t="str">
        <f>'Electronic Shop Sales Dataset'!$A520&amp;"-"&amp;'Electronic Shop Sales Dataset'!$C520</f>
        <v>P00003-Keyboard</v>
      </c>
      <c r="C520" s="11" t="s">
        <v>29</v>
      </c>
      <c r="D520" s="12">
        <v>48.04</v>
      </c>
      <c r="E520" s="11">
        <v>3</v>
      </c>
      <c r="F520" s="11" t="s">
        <v>21</v>
      </c>
      <c r="G520" s="11" t="s">
        <v>165</v>
      </c>
      <c r="H520" s="11" t="s">
        <v>40</v>
      </c>
      <c r="I520" s="11">
        <v>44.572020999999999</v>
      </c>
      <c r="J520" s="11">
        <v>-122.070938</v>
      </c>
      <c r="K520" s="11" t="s">
        <v>54</v>
      </c>
      <c r="L520" s="13">
        <v>45302</v>
      </c>
      <c r="M520" s="13">
        <f>DATEVALUE(TEXT(L520,"mm/dd/yy"))</f>
        <v>45302</v>
      </c>
      <c r="N520" s="12">
        <f>'Electronic Shop Sales Dataset'!$D520*'Electronic Shop Sales Dataset'!$E520</f>
        <v>144.12</v>
      </c>
      <c r="O520" s="12" cm="1">
        <f t="array" ref="O520">_xlfn.IFS($K520="Website",$N520*0.05, $K520="Mobile App",$N520*0.05,TRUE,0)</f>
        <v>7.2060000000000004</v>
      </c>
      <c r="P520" s="14" t="str">
        <f>IF(COUNTIF($G$2:G1095,G520)&gt;1,"Returning","New")</f>
        <v>New</v>
      </c>
      <c r="Q520" s="24" t="str">
        <f t="shared" si="8"/>
        <v>January</v>
      </c>
      <c r="R520" t="str">
        <v>New Arrival</v>
      </c>
    </row>
    <row r="521" spans="1:18" x14ac:dyDescent="0.25">
      <c r="A521" s="15" t="s">
        <v>102</v>
      </c>
      <c r="B521" s="16" t="str">
        <f>'Electronic Shop Sales Dataset'!$A521&amp;"-"&amp;'Electronic Shop Sales Dataset'!$C521</f>
        <v>P00001-Hard Disk</v>
      </c>
      <c r="C521" s="16" t="s">
        <v>97</v>
      </c>
      <c r="D521" s="17">
        <v>67</v>
      </c>
      <c r="E521" s="16">
        <v>3</v>
      </c>
      <c r="F521" s="16" t="s">
        <v>33</v>
      </c>
      <c r="G521" s="16" t="s">
        <v>167</v>
      </c>
      <c r="H521" s="16" t="s">
        <v>103</v>
      </c>
      <c r="I521" s="16">
        <v>43.326618000000003</v>
      </c>
      <c r="J521" s="16">
        <v>-84.536095000000003</v>
      </c>
      <c r="K521" s="16" t="s">
        <v>27</v>
      </c>
      <c r="L521" s="18">
        <v>45302</v>
      </c>
      <c r="M521" s="13">
        <f>DATEVALUE(TEXT(L521,"mm/dd/yy"))</f>
        <v>45302</v>
      </c>
      <c r="N521" s="17">
        <f>'Electronic Shop Sales Dataset'!$D521*'Electronic Shop Sales Dataset'!$E521</f>
        <v>201</v>
      </c>
      <c r="O521" s="12" cm="1">
        <f t="array" ref="O521">_xlfn.IFS($K521="Website",$N521*0.05, $K521="Mobile App",$N521*0.05,TRUE,0)</f>
        <v>0</v>
      </c>
      <c r="P521" s="14" t="str">
        <f>IF(COUNTIF($G$2:G1096,G521)&gt;1,"Returning","New")</f>
        <v>New</v>
      </c>
      <c r="Q521" s="24" t="str">
        <f t="shared" si="8"/>
        <v>January</v>
      </c>
      <c r="R521" t="str">
        <v>New Arrival</v>
      </c>
    </row>
    <row r="522" spans="1:18" x14ac:dyDescent="0.25">
      <c r="A522" s="10" t="s">
        <v>117</v>
      </c>
      <c r="B522" s="11" t="str">
        <f>'Electronic Shop Sales Dataset'!$A522&amp;"-"&amp;'Electronic Shop Sales Dataset'!$C522</f>
        <v>P00016-Keyboard</v>
      </c>
      <c r="C522" s="11" t="s">
        <v>29</v>
      </c>
      <c r="D522" s="12">
        <v>21.94</v>
      </c>
      <c r="E522" s="11">
        <v>3</v>
      </c>
      <c r="F522" s="11" t="s">
        <v>43</v>
      </c>
      <c r="G522" s="11" t="s">
        <v>169</v>
      </c>
      <c r="H522" s="11" t="s">
        <v>116</v>
      </c>
      <c r="I522" s="11">
        <v>43.452491999999999</v>
      </c>
      <c r="J522" s="11">
        <v>-71.563896</v>
      </c>
      <c r="K522" s="11" t="s">
        <v>48</v>
      </c>
      <c r="L522" s="13">
        <v>45303</v>
      </c>
      <c r="M522" s="13">
        <f>DATEVALUE(TEXT(L522,"mm/dd/yy"))</f>
        <v>45303</v>
      </c>
      <c r="N522" s="12">
        <f>'Electronic Shop Sales Dataset'!$D522*'Electronic Shop Sales Dataset'!$E522</f>
        <v>65.820000000000007</v>
      </c>
      <c r="O522" s="12" cm="1">
        <f t="array" ref="O522">_xlfn.IFS($K522="Website",$N522*0.05, $K522="Mobile App",$N522*0.05,TRUE,0)</f>
        <v>3.2910000000000004</v>
      </c>
      <c r="P522" s="14" t="str">
        <f>IF(COUNTIF($G$2:G1097,G522)&gt;1,"Returning","New")</f>
        <v>New</v>
      </c>
      <c r="Q522" s="24" t="str">
        <f t="shared" si="8"/>
        <v>January</v>
      </c>
      <c r="R522" t="str">
        <v>New Arrival</v>
      </c>
    </row>
    <row r="523" spans="1:18" x14ac:dyDescent="0.25">
      <c r="A523" s="15" t="s">
        <v>60</v>
      </c>
      <c r="B523" s="16" t="str">
        <f>'Electronic Shop Sales Dataset'!$A523&amp;"-"&amp;'Electronic Shop Sales Dataset'!$C523</f>
        <v>P00015-Mouse</v>
      </c>
      <c r="C523" s="16" t="s">
        <v>95</v>
      </c>
      <c r="D523" s="17">
        <v>70.06</v>
      </c>
      <c r="E523" s="16">
        <v>1</v>
      </c>
      <c r="F523" s="16" t="s">
        <v>33</v>
      </c>
      <c r="G523" s="16" t="s">
        <v>170</v>
      </c>
      <c r="H523" s="16" t="s">
        <v>77</v>
      </c>
      <c r="I523" s="16">
        <v>44.693947000000001</v>
      </c>
      <c r="J523" s="16">
        <v>-69.381927000000005</v>
      </c>
      <c r="K523" s="16" t="s">
        <v>15</v>
      </c>
      <c r="L523" s="18">
        <v>45303</v>
      </c>
      <c r="M523" s="13">
        <f>DATEVALUE(TEXT(L523,"mm/dd/yy"))</f>
        <v>45303</v>
      </c>
      <c r="N523" s="17">
        <f>'Electronic Shop Sales Dataset'!$D523*'Electronic Shop Sales Dataset'!$E523</f>
        <v>70.06</v>
      </c>
      <c r="O523" s="12" cm="1">
        <f t="array" ref="O523">_xlfn.IFS($K523="Website",$N523*0.05, $K523="Mobile App",$N523*0.05,TRUE,0)</f>
        <v>0</v>
      </c>
      <c r="P523" s="14" t="str">
        <f>IF(COUNTIF($G$2:G1098,G523)&gt;1,"Returning","New")</f>
        <v>New</v>
      </c>
      <c r="Q523" s="24" t="str">
        <f t="shared" si="8"/>
        <v>January</v>
      </c>
      <c r="R523" t="str">
        <v>New Arrival</v>
      </c>
    </row>
    <row r="524" spans="1:18" x14ac:dyDescent="0.25">
      <c r="A524" s="10" t="s">
        <v>61</v>
      </c>
      <c r="B524" s="11" t="str">
        <f>'Electronic Shop Sales Dataset'!$A524&amp;"-"&amp;'Electronic Shop Sales Dataset'!$C524</f>
        <v>P00002-Projector</v>
      </c>
      <c r="C524" s="11" t="s">
        <v>65</v>
      </c>
      <c r="D524" s="12">
        <v>700.93</v>
      </c>
      <c r="E524" s="11">
        <v>5</v>
      </c>
      <c r="F524" s="11" t="s">
        <v>13</v>
      </c>
      <c r="G524" s="11" t="s">
        <v>171</v>
      </c>
      <c r="H524" s="11" t="s">
        <v>85</v>
      </c>
      <c r="I524" s="11">
        <v>31.169546</v>
      </c>
      <c r="J524" s="11">
        <v>-91.867805000000004</v>
      </c>
      <c r="K524" s="11" t="s">
        <v>27</v>
      </c>
      <c r="L524" s="13">
        <v>45303</v>
      </c>
      <c r="M524" s="13">
        <f>DATEVALUE(TEXT(L524,"mm/dd/yy"))</f>
        <v>45303</v>
      </c>
      <c r="N524" s="12">
        <f>'Electronic Shop Sales Dataset'!$D524*'Electronic Shop Sales Dataset'!$E524</f>
        <v>3504.6499999999996</v>
      </c>
      <c r="O524" s="12" cm="1">
        <f t="array" ref="O524">_xlfn.IFS($K524="Website",$N524*0.05, $K524="Mobile App",$N524*0.05,TRUE,0)</f>
        <v>0</v>
      </c>
      <c r="P524" s="14" t="str">
        <f>IF(COUNTIF($G$2:G1099,G524)&gt;1,"Returning","New")</f>
        <v>New</v>
      </c>
      <c r="Q524" s="24" t="str">
        <f t="shared" si="8"/>
        <v>January</v>
      </c>
      <c r="R524" t="str">
        <v>New Arrival</v>
      </c>
    </row>
    <row r="525" spans="1:18" x14ac:dyDescent="0.25">
      <c r="A525" s="15" t="s">
        <v>79</v>
      </c>
      <c r="B525" s="16" t="str">
        <f>'Electronic Shop Sales Dataset'!$A525&amp;"-"&amp;'Electronic Shop Sales Dataset'!$C525</f>
        <v>P00012-Printer</v>
      </c>
      <c r="C525" s="16" t="s">
        <v>52</v>
      </c>
      <c r="D525" s="17">
        <v>214.31</v>
      </c>
      <c r="E525" s="16">
        <v>1</v>
      </c>
      <c r="F525" s="16" t="s">
        <v>21</v>
      </c>
      <c r="G525" s="16" t="s">
        <v>173</v>
      </c>
      <c r="H525" s="16" t="s">
        <v>107</v>
      </c>
      <c r="I525" s="16">
        <v>38.526600000000002</v>
      </c>
      <c r="J525" s="16">
        <v>-96.726485999999994</v>
      </c>
      <c r="K525" s="16" t="s">
        <v>27</v>
      </c>
      <c r="L525" s="18">
        <v>45303</v>
      </c>
      <c r="M525" s="13">
        <f>DATEVALUE(TEXT(L525,"mm/dd/yy"))</f>
        <v>45303</v>
      </c>
      <c r="N525" s="17">
        <f>'Electronic Shop Sales Dataset'!$D525*'Electronic Shop Sales Dataset'!$E525</f>
        <v>214.31</v>
      </c>
      <c r="O525" s="12" cm="1">
        <f t="array" ref="O525">_xlfn.IFS($K525="Website",$N525*0.05, $K525="Mobile App",$N525*0.05,TRUE,0)</f>
        <v>0</v>
      </c>
      <c r="P525" s="14" t="str">
        <f>IF(COUNTIF($G$2:G1100,G525)&gt;1,"Returning","New")</f>
        <v>New</v>
      </c>
      <c r="Q525" s="24" t="str">
        <f t="shared" si="8"/>
        <v>January</v>
      </c>
      <c r="R525" t="str">
        <v>New Arrival</v>
      </c>
    </row>
    <row r="526" spans="1:18" x14ac:dyDescent="0.25">
      <c r="A526" s="10" t="s">
        <v>64</v>
      </c>
      <c r="B526" s="11" t="str">
        <f>'Electronic Shop Sales Dataset'!$A526&amp;"-"&amp;'Electronic Shop Sales Dataset'!$C526</f>
        <v>P00011-Gaming Console</v>
      </c>
      <c r="C526" s="11" t="s">
        <v>17</v>
      </c>
      <c r="D526" s="12">
        <v>521.97</v>
      </c>
      <c r="E526" s="11">
        <v>3</v>
      </c>
      <c r="F526" s="11" t="s">
        <v>13</v>
      </c>
      <c r="G526" s="11" t="s">
        <v>174</v>
      </c>
      <c r="H526" s="11" t="s">
        <v>18</v>
      </c>
      <c r="I526" s="11">
        <v>47.528911999999998</v>
      </c>
      <c r="J526" s="11">
        <v>-99.784012000000004</v>
      </c>
      <c r="K526" s="11" t="s">
        <v>15</v>
      </c>
      <c r="L526" s="13">
        <v>45303</v>
      </c>
      <c r="M526" s="13">
        <f>DATEVALUE(TEXT(L526,"mm/dd/yy"))</f>
        <v>45303</v>
      </c>
      <c r="N526" s="12">
        <f>'Electronic Shop Sales Dataset'!$D526*'Electronic Shop Sales Dataset'!$E526</f>
        <v>1565.91</v>
      </c>
      <c r="O526" s="12" cm="1">
        <f t="array" ref="O526">_xlfn.IFS($K526="Website",$N526*0.05, $K526="Mobile App",$N526*0.05,TRUE,0)</f>
        <v>0</v>
      </c>
      <c r="P526" s="14" t="str">
        <f>IF(COUNTIF($G$2:G1101,G526)&gt;1,"Returning","New")</f>
        <v>New</v>
      </c>
      <c r="Q526" s="24" t="str">
        <f t="shared" si="8"/>
        <v>January</v>
      </c>
      <c r="R526" t="str">
        <v>New Arrival</v>
      </c>
    </row>
    <row r="527" spans="1:18" x14ac:dyDescent="0.25">
      <c r="A527" s="15" t="s">
        <v>38</v>
      </c>
      <c r="B527" s="16" t="str">
        <f>'Electronic Shop Sales Dataset'!$A527&amp;"-"&amp;'Electronic Shop Sales Dataset'!$C527</f>
        <v>P00007-Speaker</v>
      </c>
      <c r="C527" s="16" t="s">
        <v>106</v>
      </c>
      <c r="D527" s="17">
        <v>373.61</v>
      </c>
      <c r="E527" s="16">
        <v>2</v>
      </c>
      <c r="F527" s="16" t="s">
        <v>33</v>
      </c>
      <c r="G527" s="16" t="s">
        <v>175</v>
      </c>
      <c r="H527" s="16" t="s">
        <v>123</v>
      </c>
      <c r="I527" s="16">
        <v>40.388782999999997</v>
      </c>
      <c r="J527" s="16">
        <v>-82.764915000000002</v>
      </c>
      <c r="K527" s="16" t="s">
        <v>48</v>
      </c>
      <c r="L527" s="18">
        <v>45303</v>
      </c>
      <c r="M527" s="13">
        <f>DATEVALUE(TEXT(L527,"mm/dd/yy"))</f>
        <v>45303</v>
      </c>
      <c r="N527" s="17">
        <f>'Electronic Shop Sales Dataset'!$D527*'Electronic Shop Sales Dataset'!$E527</f>
        <v>747.22</v>
      </c>
      <c r="O527" s="12" cm="1">
        <f t="array" ref="O527">_xlfn.IFS($K527="Website",$N527*0.05, $K527="Mobile App",$N527*0.05,TRUE,0)</f>
        <v>37.361000000000004</v>
      </c>
      <c r="P527" s="14" t="str">
        <f>IF(COUNTIF($G$2:G1102,G527)&gt;1,"Returning","New")</f>
        <v>New</v>
      </c>
      <c r="Q527" s="24" t="str">
        <f t="shared" si="8"/>
        <v>January</v>
      </c>
      <c r="R527" t="str">
        <v>New Arrival</v>
      </c>
    </row>
    <row r="528" spans="1:18" x14ac:dyDescent="0.25">
      <c r="A528" s="10" t="s">
        <v>41</v>
      </c>
      <c r="B528" s="11" t="str">
        <f>'Electronic Shop Sales Dataset'!$A528&amp;"-"&amp;'Electronic Shop Sales Dataset'!$C528</f>
        <v>P00024-Charger</v>
      </c>
      <c r="C528" s="11" t="s">
        <v>32</v>
      </c>
      <c r="D528" s="12">
        <v>38.799999999999997</v>
      </c>
      <c r="E528" s="11">
        <v>4</v>
      </c>
      <c r="F528" s="11" t="s">
        <v>33</v>
      </c>
      <c r="G528" s="11" t="s">
        <v>176</v>
      </c>
      <c r="H528" s="11" t="s">
        <v>104</v>
      </c>
      <c r="I528" s="11">
        <v>61.370716000000002</v>
      </c>
      <c r="J528" s="11">
        <v>-152.40441899999999</v>
      </c>
      <c r="K528" s="11" t="s">
        <v>48</v>
      </c>
      <c r="L528" s="13">
        <v>45304</v>
      </c>
      <c r="M528" s="13">
        <f>DATEVALUE(TEXT(L528,"mm/dd/yy"))</f>
        <v>45304</v>
      </c>
      <c r="N528" s="12">
        <f>'Electronic Shop Sales Dataset'!$D528*'Electronic Shop Sales Dataset'!$E528</f>
        <v>155.19999999999999</v>
      </c>
      <c r="O528" s="12" cm="1">
        <f t="array" ref="O528">_xlfn.IFS($K528="Website",$N528*0.05, $K528="Mobile App",$N528*0.05,TRUE,0)</f>
        <v>7.76</v>
      </c>
      <c r="P528" s="14" t="str">
        <f>IF(COUNTIF($G$2:G1103,G528)&gt;1,"Returning","New")</f>
        <v>New</v>
      </c>
      <c r="Q528" s="24" t="str">
        <f t="shared" si="8"/>
        <v>January</v>
      </c>
      <c r="R528" t="str">
        <v>New Arrival</v>
      </c>
    </row>
    <row r="529" spans="1:18" x14ac:dyDescent="0.25">
      <c r="A529" s="15" t="s">
        <v>35</v>
      </c>
      <c r="B529" s="16" t="str">
        <f>'Electronic Shop Sales Dataset'!$A529&amp;"-"&amp;'Electronic Shop Sales Dataset'!$C529</f>
        <v>P00008-Smart Home Hub</v>
      </c>
      <c r="C529" s="16" t="s">
        <v>42</v>
      </c>
      <c r="D529" s="17">
        <v>282.99</v>
      </c>
      <c r="E529" s="16">
        <v>5</v>
      </c>
      <c r="F529" s="16" t="s">
        <v>13</v>
      </c>
      <c r="G529" s="16" t="s">
        <v>177</v>
      </c>
      <c r="H529" s="16" t="s">
        <v>76</v>
      </c>
      <c r="I529" s="16">
        <v>33.856892000000002</v>
      </c>
      <c r="J529" s="16">
        <v>-80.945007000000004</v>
      </c>
      <c r="K529" s="16" t="s">
        <v>48</v>
      </c>
      <c r="L529" s="18">
        <v>45304</v>
      </c>
      <c r="M529" s="13">
        <f>DATEVALUE(TEXT(L529,"mm/dd/yy"))</f>
        <v>45304</v>
      </c>
      <c r="N529" s="17">
        <f>'Electronic Shop Sales Dataset'!$D529*'Electronic Shop Sales Dataset'!$E529</f>
        <v>1414.95</v>
      </c>
      <c r="O529" s="12" cm="1">
        <f t="array" ref="O529">_xlfn.IFS($K529="Website",$N529*0.05, $K529="Mobile App",$N529*0.05,TRUE,0)</f>
        <v>70.747500000000002</v>
      </c>
      <c r="P529" s="14" t="str">
        <f>IF(COUNTIF($G$2:G1104,G529)&gt;1,"Returning","New")</f>
        <v>New</v>
      </c>
      <c r="Q529" s="24" t="str">
        <f t="shared" si="8"/>
        <v>January</v>
      </c>
      <c r="R529" t="str">
        <v>New Arrival</v>
      </c>
    </row>
    <row r="530" spans="1:18" x14ac:dyDescent="0.25">
      <c r="A530" s="10" t="s">
        <v>90</v>
      </c>
      <c r="B530" s="11" t="str">
        <f>'Electronic Shop Sales Dataset'!$A530&amp;"-"&amp;'Electronic Shop Sales Dataset'!$C530</f>
        <v>P00014-Gaming Console</v>
      </c>
      <c r="C530" s="11" t="s">
        <v>17</v>
      </c>
      <c r="D530" s="12">
        <v>446.44</v>
      </c>
      <c r="E530" s="11">
        <v>3</v>
      </c>
      <c r="F530" s="11" t="s">
        <v>21</v>
      </c>
      <c r="G530" s="11" t="s">
        <v>178</v>
      </c>
      <c r="H530" s="11" t="s">
        <v>91</v>
      </c>
      <c r="I530" s="11">
        <v>38.313515000000002</v>
      </c>
      <c r="J530" s="11">
        <v>-117.055374</v>
      </c>
      <c r="K530" s="11" t="s">
        <v>48</v>
      </c>
      <c r="L530" s="13">
        <v>45306</v>
      </c>
      <c r="M530" s="13">
        <f>DATEVALUE(TEXT(L530,"mm/dd/yy"))</f>
        <v>45306</v>
      </c>
      <c r="N530" s="12">
        <f>'Electronic Shop Sales Dataset'!$D530*'Electronic Shop Sales Dataset'!$E530</f>
        <v>1339.32</v>
      </c>
      <c r="O530" s="12" cm="1">
        <f t="array" ref="O530">_xlfn.IFS($K530="Website",$N530*0.05, $K530="Mobile App",$N530*0.05,TRUE,0)</f>
        <v>66.965999999999994</v>
      </c>
      <c r="P530" s="14" t="str">
        <f>IF(COUNTIF($G$2:G1105,G530)&gt;1,"Returning","New")</f>
        <v>New</v>
      </c>
      <c r="Q530" s="24" t="str">
        <f t="shared" si="8"/>
        <v>January</v>
      </c>
      <c r="R530" t="str">
        <v>New Arrival</v>
      </c>
    </row>
    <row r="531" spans="1:18" x14ac:dyDescent="0.25">
      <c r="A531" s="15" t="s">
        <v>61</v>
      </c>
      <c r="B531" s="16" t="str">
        <f>'Electronic Shop Sales Dataset'!$A531&amp;"-"&amp;'Electronic Shop Sales Dataset'!$C531</f>
        <v>P00002-Graphics Card</v>
      </c>
      <c r="C531" s="16" t="s">
        <v>125</v>
      </c>
      <c r="D531" s="17">
        <v>1762.19</v>
      </c>
      <c r="E531" s="16">
        <v>3</v>
      </c>
      <c r="F531" s="16" t="s">
        <v>33</v>
      </c>
      <c r="G531" s="16" t="s">
        <v>179</v>
      </c>
      <c r="H531" s="16" t="s">
        <v>100</v>
      </c>
      <c r="I531" s="16">
        <v>45.694454</v>
      </c>
      <c r="J531" s="16">
        <v>-93.900192000000004</v>
      </c>
      <c r="K531" s="16" t="s">
        <v>27</v>
      </c>
      <c r="L531" s="18">
        <v>45306</v>
      </c>
      <c r="M531" s="13">
        <f>DATEVALUE(TEXT(L531,"mm/dd/yy"))</f>
        <v>45306</v>
      </c>
      <c r="N531" s="17">
        <f>'Electronic Shop Sales Dataset'!$D531*'Electronic Shop Sales Dataset'!$E531</f>
        <v>5286.57</v>
      </c>
      <c r="O531" s="12" cm="1">
        <f t="array" ref="O531">_xlfn.IFS($K531="Website",$N531*0.05, $K531="Mobile App",$N531*0.05,TRUE,0)</f>
        <v>0</v>
      </c>
      <c r="P531" s="14" t="str">
        <f>IF(COUNTIF($G$2:G1106,G531)&gt;1,"Returning","New")</f>
        <v>New</v>
      </c>
      <c r="Q531" s="24" t="str">
        <f t="shared" si="8"/>
        <v>January</v>
      </c>
      <c r="R531" t="str">
        <v>New Arrival</v>
      </c>
    </row>
    <row r="532" spans="1:18" x14ac:dyDescent="0.25">
      <c r="A532" s="10" t="s">
        <v>58</v>
      </c>
      <c r="B532" s="11" t="str">
        <f>'Electronic Shop Sales Dataset'!$A532&amp;"-"&amp;'Electronic Shop Sales Dataset'!$C532</f>
        <v>P00009-Charger</v>
      </c>
      <c r="C532" s="11" t="s">
        <v>32</v>
      </c>
      <c r="D532" s="12">
        <v>47.59</v>
      </c>
      <c r="E532" s="11">
        <v>2</v>
      </c>
      <c r="F532" s="11" t="s">
        <v>13</v>
      </c>
      <c r="G532" s="11" t="s">
        <v>180</v>
      </c>
      <c r="H532" s="11" t="s">
        <v>112</v>
      </c>
      <c r="I532" s="11">
        <v>39.063946000000001</v>
      </c>
      <c r="J532" s="11">
        <v>-76.802100999999993</v>
      </c>
      <c r="K532" s="11" t="s">
        <v>23</v>
      </c>
      <c r="L532" s="13">
        <v>45306</v>
      </c>
      <c r="M532" s="13">
        <f>DATEVALUE(TEXT(L532,"mm/dd/yy"))</f>
        <v>45306</v>
      </c>
      <c r="N532" s="12">
        <f>'Electronic Shop Sales Dataset'!$D532*'Electronic Shop Sales Dataset'!$E532</f>
        <v>95.18</v>
      </c>
      <c r="O532" s="12" cm="1">
        <f t="array" ref="O532">_xlfn.IFS($K532="Website",$N532*0.05, $K532="Mobile App",$N532*0.05,TRUE,0)</f>
        <v>0</v>
      </c>
      <c r="P532" s="14" t="str">
        <f>IF(COUNTIF($G$2:G1107,G532)&gt;1,"Returning","New")</f>
        <v>New</v>
      </c>
      <c r="Q532" s="24" t="str">
        <f t="shared" si="8"/>
        <v>January</v>
      </c>
      <c r="R532" t="str">
        <v>New Arrival</v>
      </c>
    </row>
    <row r="533" spans="1:18" x14ac:dyDescent="0.25">
      <c r="A533" s="15" t="s">
        <v>90</v>
      </c>
      <c r="B533" s="16" t="str">
        <f>'Electronic Shop Sales Dataset'!$A533&amp;"-"&amp;'Electronic Shop Sales Dataset'!$C533</f>
        <v>P00014-Printer</v>
      </c>
      <c r="C533" s="16" t="s">
        <v>52</v>
      </c>
      <c r="D533" s="17">
        <v>362.78</v>
      </c>
      <c r="E533" s="16">
        <v>3</v>
      </c>
      <c r="F533" s="16" t="s">
        <v>33</v>
      </c>
      <c r="G533" s="16" t="s">
        <v>181</v>
      </c>
      <c r="H533" s="16" t="s">
        <v>116</v>
      </c>
      <c r="I533" s="16">
        <v>43.452491999999999</v>
      </c>
      <c r="J533" s="16">
        <v>-71.563896</v>
      </c>
      <c r="K533" s="16" t="s">
        <v>15</v>
      </c>
      <c r="L533" s="18">
        <v>45306</v>
      </c>
      <c r="M533" s="13">
        <f>DATEVALUE(TEXT(L533,"mm/dd/yy"))</f>
        <v>45306</v>
      </c>
      <c r="N533" s="17">
        <f>'Electronic Shop Sales Dataset'!$D533*'Electronic Shop Sales Dataset'!$E533</f>
        <v>1088.3399999999999</v>
      </c>
      <c r="O533" s="12" cm="1">
        <f t="array" ref="O533">_xlfn.IFS($K533="Website",$N533*0.05, $K533="Mobile App",$N533*0.05,TRUE,0)</f>
        <v>0</v>
      </c>
      <c r="P533" s="14" t="str">
        <f>IF(COUNTIF($G$2:G1108,G533)&gt;1,"Returning","New")</f>
        <v>New</v>
      </c>
      <c r="Q533" s="24" t="str">
        <f t="shared" si="8"/>
        <v>January</v>
      </c>
      <c r="R533" t="str">
        <v>New Arrival</v>
      </c>
    </row>
    <row r="534" spans="1:18" x14ac:dyDescent="0.25">
      <c r="A534" s="10" t="s">
        <v>58</v>
      </c>
      <c r="B534" s="11" t="str">
        <f>'Electronic Shop Sales Dataset'!$A534&amp;"-"&amp;'Electronic Shop Sales Dataset'!$C534</f>
        <v>P00009-Projector</v>
      </c>
      <c r="C534" s="11" t="s">
        <v>65</v>
      </c>
      <c r="D534" s="12">
        <v>224.02</v>
      </c>
      <c r="E534" s="11">
        <v>3</v>
      </c>
      <c r="F534" s="11" t="s">
        <v>43</v>
      </c>
      <c r="G534" s="11" t="s">
        <v>182</v>
      </c>
      <c r="H534" s="11" t="s">
        <v>116</v>
      </c>
      <c r="I534" s="11">
        <v>43.452491999999999</v>
      </c>
      <c r="J534" s="11">
        <v>-71.563896</v>
      </c>
      <c r="K534" s="11" t="s">
        <v>15</v>
      </c>
      <c r="L534" s="13">
        <v>45307</v>
      </c>
      <c r="M534" s="13">
        <f>DATEVALUE(TEXT(L534,"mm/dd/yy"))</f>
        <v>45307</v>
      </c>
      <c r="N534" s="12">
        <f>'Electronic Shop Sales Dataset'!$D534*'Electronic Shop Sales Dataset'!$E534</f>
        <v>672.06000000000006</v>
      </c>
      <c r="O534" s="12" cm="1">
        <f t="array" ref="O534">_xlfn.IFS($K534="Website",$N534*0.05, $K534="Mobile App",$N534*0.05,TRUE,0)</f>
        <v>0</v>
      </c>
      <c r="P534" s="14" t="str">
        <f>IF(COUNTIF($G$2:G1109,G534)&gt;1,"Returning","New")</f>
        <v>New</v>
      </c>
      <c r="Q534" s="24" t="str">
        <f t="shared" si="8"/>
        <v>January</v>
      </c>
      <c r="R534" t="str">
        <v>New Arrival</v>
      </c>
    </row>
    <row r="535" spans="1:18" x14ac:dyDescent="0.25">
      <c r="A535" s="15" t="s">
        <v>28</v>
      </c>
      <c r="B535" s="16" t="str">
        <f>'Electronic Shop Sales Dataset'!$A535&amp;"-"&amp;'Electronic Shop Sales Dataset'!$C535</f>
        <v>P00006-Laptop</v>
      </c>
      <c r="C535" s="16" t="s">
        <v>89</v>
      </c>
      <c r="D535" s="17">
        <v>681.9</v>
      </c>
      <c r="E535" s="16">
        <v>4</v>
      </c>
      <c r="F535" s="16" t="s">
        <v>21</v>
      </c>
      <c r="G535" s="16" t="s">
        <v>183</v>
      </c>
      <c r="H535" s="16" t="s">
        <v>156</v>
      </c>
      <c r="I535" s="16">
        <v>41.125369999999997</v>
      </c>
      <c r="J535" s="16">
        <v>-98.268082000000007</v>
      </c>
      <c r="K535" s="16" t="s">
        <v>23</v>
      </c>
      <c r="L535" s="18">
        <v>45307</v>
      </c>
      <c r="M535" s="13">
        <f>DATEVALUE(TEXT(L535,"mm/dd/yy"))</f>
        <v>45307</v>
      </c>
      <c r="N535" s="17">
        <f>'Electronic Shop Sales Dataset'!$D535*'Electronic Shop Sales Dataset'!$E535</f>
        <v>2727.6</v>
      </c>
      <c r="O535" s="12" cm="1">
        <f t="array" ref="O535">_xlfn.IFS($K535="Website",$N535*0.05, $K535="Mobile App",$N535*0.05,TRUE,0)</f>
        <v>0</v>
      </c>
      <c r="P535" s="14" t="str">
        <f>IF(COUNTIF($G$2:G1110,G535)&gt;1,"Returning","New")</f>
        <v>New</v>
      </c>
      <c r="Q535" s="24" t="str">
        <f t="shared" si="8"/>
        <v>January</v>
      </c>
      <c r="R535" t="str">
        <v>Old Stock</v>
      </c>
    </row>
    <row r="536" spans="1:18" x14ac:dyDescent="0.25">
      <c r="A536" s="10" t="s">
        <v>58</v>
      </c>
      <c r="B536" s="11" t="str">
        <f>'Electronic Shop Sales Dataset'!$A536&amp;"-"&amp;'Electronic Shop Sales Dataset'!$C536</f>
        <v>P00009-Laptop</v>
      </c>
      <c r="C536" s="11" t="s">
        <v>89</v>
      </c>
      <c r="D536" s="12">
        <v>1910.63</v>
      </c>
      <c r="E536" s="11">
        <v>2</v>
      </c>
      <c r="F536" s="11" t="s">
        <v>21</v>
      </c>
      <c r="G536" s="11" t="s">
        <v>184</v>
      </c>
      <c r="H536" s="11" t="s">
        <v>120</v>
      </c>
      <c r="I536" s="11">
        <v>40.349457000000001</v>
      </c>
      <c r="J536" s="11">
        <v>-88.986136999999999</v>
      </c>
      <c r="K536" s="11" t="s">
        <v>27</v>
      </c>
      <c r="L536" s="13">
        <v>45308</v>
      </c>
      <c r="M536" s="13">
        <f>DATEVALUE(TEXT(L536,"mm/dd/yy"))</f>
        <v>45308</v>
      </c>
      <c r="N536" s="12">
        <f>'Electronic Shop Sales Dataset'!$D536*'Electronic Shop Sales Dataset'!$E536</f>
        <v>3821.26</v>
      </c>
      <c r="O536" s="12" cm="1">
        <f t="array" ref="O536">_xlfn.IFS($K536="Website",$N536*0.05, $K536="Mobile App",$N536*0.05,TRUE,0)</f>
        <v>0</v>
      </c>
      <c r="P536" s="14" t="str">
        <f>IF(COUNTIF($G$2:G1111,G536)&gt;1,"Returning","New")</f>
        <v>New</v>
      </c>
      <c r="Q536" s="24" t="str">
        <f t="shared" si="8"/>
        <v>January</v>
      </c>
      <c r="R536" t="str">
        <v>Old Stock</v>
      </c>
    </row>
    <row r="537" spans="1:18" x14ac:dyDescent="0.25">
      <c r="A537" s="15" t="s">
        <v>49</v>
      </c>
      <c r="B537" s="16" t="str">
        <f>'Electronic Shop Sales Dataset'!$A537&amp;"-"&amp;'Electronic Shop Sales Dataset'!$C537</f>
        <v>P00023-Monitor</v>
      </c>
      <c r="C537" s="16" t="s">
        <v>25</v>
      </c>
      <c r="D537" s="17">
        <v>990.01</v>
      </c>
      <c r="E537" s="16">
        <v>4</v>
      </c>
      <c r="F537" s="16" t="s">
        <v>33</v>
      </c>
      <c r="G537" s="16" t="s">
        <v>185</v>
      </c>
      <c r="H537" s="16" t="s">
        <v>40</v>
      </c>
      <c r="I537" s="16">
        <v>44.572020999999999</v>
      </c>
      <c r="J537" s="16">
        <v>-122.070938</v>
      </c>
      <c r="K537" s="16" t="s">
        <v>15</v>
      </c>
      <c r="L537" s="18">
        <v>45308</v>
      </c>
      <c r="M537" s="13">
        <f>DATEVALUE(TEXT(L537,"mm/dd/yy"))</f>
        <v>45308</v>
      </c>
      <c r="N537" s="17">
        <f>'Electronic Shop Sales Dataset'!$D537*'Electronic Shop Sales Dataset'!$E537</f>
        <v>3960.04</v>
      </c>
      <c r="O537" s="12" cm="1">
        <f t="array" ref="O537">_xlfn.IFS($K537="Website",$N537*0.05, $K537="Mobile App",$N537*0.05,TRUE,0)</f>
        <v>0</v>
      </c>
      <c r="P537" s="14" t="str">
        <f>IF(COUNTIF($G$2:G1112,G537)&gt;1,"Returning","New")</f>
        <v>New</v>
      </c>
      <c r="Q537" s="24" t="str">
        <f t="shared" si="8"/>
        <v>January</v>
      </c>
      <c r="R537" t="str">
        <v>New Arrival</v>
      </c>
    </row>
    <row r="538" spans="1:18" x14ac:dyDescent="0.25">
      <c r="A538" s="10" t="s">
        <v>102</v>
      </c>
      <c r="B538" s="11" t="str">
        <f>'Electronic Shop Sales Dataset'!$A538&amp;"-"&amp;'Electronic Shop Sales Dataset'!$C538</f>
        <v>P00001-Laptop</v>
      </c>
      <c r="C538" s="11" t="s">
        <v>89</v>
      </c>
      <c r="D538" s="12">
        <v>705.57</v>
      </c>
      <c r="E538" s="11">
        <v>1</v>
      </c>
      <c r="F538" s="11" t="s">
        <v>21</v>
      </c>
      <c r="G538" s="11" t="s">
        <v>186</v>
      </c>
      <c r="H538" s="11" t="s">
        <v>53</v>
      </c>
      <c r="I538" s="11">
        <v>40.298904</v>
      </c>
      <c r="J538" s="11">
        <v>-74.521011000000001</v>
      </c>
      <c r="K538" s="11" t="s">
        <v>54</v>
      </c>
      <c r="L538" s="13">
        <v>45308</v>
      </c>
      <c r="M538" s="13">
        <f>DATEVALUE(TEXT(L538,"mm/dd/yy"))</f>
        <v>45308</v>
      </c>
      <c r="N538" s="12">
        <f>'Electronic Shop Sales Dataset'!$D538*'Electronic Shop Sales Dataset'!$E538</f>
        <v>705.57</v>
      </c>
      <c r="O538" s="12" cm="1">
        <f t="array" ref="O538">_xlfn.IFS($K538="Website",$N538*0.05, $K538="Mobile App",$N538*0.05,TRUE,0)</f>
        <v>35.278500000000001</v>
      </c>
      <c r="P538" s="14" t="str">
        <f>IF(COUNTIF($G$2:G1113,G538)&gt;1,"Returning","New")</f>
        <v>New</v>
      </c>
      <c r="Q538" s="24" t="str">
        <f t="shared" si="8"/>
        <v>January</v>
      </c>
      <c r="R538" t="str">
        <v>Old Stock</v>
      </c>
    </row>
    <row r="539" spans="1:18" x14ac:dyDescent="0.25">
      <c r="A539" s="15" t="s">
        <v>86</v>
      </c>
      <c r="B539" s="16" t="str">
        <f>'Electronic Shop Sales Dataset'!$A539&amp;"-"&amp;'Electronic Shop Sales Dataset'!$C539</f>
        <v>P00021-Smart Home Hub</v>
      </c>
      <c r="C539" s="16" t="s">
        <v>42</v>
      </c>
      <c r="D539" s="17">
        <v>488.35</v>
      </c>
      <c r="E539" s="16">
        <v>3</v>
      </c>
      <c r="F539" s="16" t="s">
        <v>33</v>
      </c>
      <c r="G539" s="16" t="s">
        <v>188</v>
      </c>
      <c r="H539" s="16" t="s">
        <v>57</v>
      </c>
      <c r="I539" s="16">
        <v>40.150032000000003</v>
      </c>
      <c r="J539" s="16">
        <v>-111.86243399999999</v>
      </c>
      <c r="K539" s="16" t="s">
        <v>27</v>
      </c>
      <c r="L539" s="18">
        <v>45309</v>
      </c>
      <c r="M539" s="13">
        <f>DATEVALUE(TEXT(L539,"mm/dd/yy"))</f>
        <v>45309</v>
      </c>
      <c r="N539" s="17">
        <f>'Electronic Shop Sales Dataset'!$D539*'Electronic Shop Sales Dataset'!$E539</f>
        <v>1465.0500000000002</v>
      </c>
      <c r="O539" s="12" cm="1">
        <f t="array" ref="O539">_xlfn.IFS($K539="Website",$N539*0.05, $K539="Mobile App",$N539*0.05,TRUE,0)</f>
        <v>0</v>
      </c>
      <c r="P539" s="14" t="str">
        <f>IF(COUNTIF($G$2:G1114,G539)&gt;1,"Returning","New")</f>
        <v>New</v>
      </c>
      <c r="Q539" s="24" t="str">
        <f t="shared" si="8"/>
        <v>January</v>
      </c>
      <c r="R539" t="str">
        <v>New Arrival</v>
      </c>
    </row>
    <row r="540" spans="1:18" x14ac:dyDescent="0.25">
      <c r="A540" s="10" t="s">
        <v>79</v>
      </c>
      <c r="B540" s="11" t="str">
        <f>'Electronic Shop Sales Dataset'!$A540&amp;"-"&amp;'Electronic Shop Sales Dataset'!$C540</f>
        <v>P00012-Smartphone</v>
      </c>
      <c r="C540" s="11" t="s">
        <v>12</v>
      </c>
      <c r="D540" s="12">
        <v>425.62</v>
      </c>
      <c r="E540" s="11">
        <v>1</v>
      </c>
      <c r="F540" s="11" t="s">
        <v>43</v>
      </c>
      <c r="G540" s="11" t="s">
        <v>189</v>
      </c>
      <c r="H540" s="11" t="s">
        <v>34</v>
      </c>
      <c r="I540" s="11">
        <v>32.806671000000001</v>
      </c>
      <c r="J540" s="11">
        <v>-86.791129999999995</v>
      </c>
      <c r="K540" s="11" t="s">
        <v>27</v>
      </c>
      <c r="L540" s="13">
        <v>45309</v>
      </c>
      <c r="M540" s="13">
        <f>DATEVALUE(TEXT(L540,"mm/dd/yy"))</f>
        <v>45309</v>
      </c>
      <c r="N540" s="12">
        <f>'Electronic Shop Sales Dataset'!$D540*'Electronic Shop Sales Dataset'!$E540</f>
        <v>425.62</v>
      </c>
      <c r="O540" s="12" cm="1">
        <f t="array" ref="O540">_xlfn.IFS($K540="Website",$N540*0.05, $K540="Mobile App",$N540*0.05,TRUE,0)</f>
        <v>0</v>
      </c>
      <c r="P540" s="14" t="str">
        <f>IF(COUNTIF($G$2:G1115,G540)&gt;1,"Returning","New")</f>
        <v>New</v>
      </c>
      <c r="Q540" s="24" t="str">
        <f t="shared" si="8"/>
        <v>January</v>
      </c>
      <c r="R540" t="str">
        <v>New Arrival</v>
      </c>
    </row>
    <row r="541" spans="1:18" x14ac:dyDescent="0.25">
      <c r="A541" s="15" t="s">
        <v>41</v>
      </c>
      <c r="B541" s="16" t="str">
        <f>'Electronic Shop Sales Dataset'!$A541&amp;"-"&amp;'Electronic Shop Sales Dataset'!$C541</f>
        <v>P00024-Graphics Card</v>
      </c>
      <c r="C541" s="16" t="s">
        <v>125</v>
      </c>
      <c r="D541" s="17">
        <v>1775.67</v>
      </c>
      <c r="E541" s="16">
        <v>3</v>
      </c>
      <c r="F541" s="16" t="s">
        <v>13</v>
      </c>
      <c r="G541" s="16" t="s">
        <v>190</v>
      </c>
      <c r="H541" s="16" t="s">
        <v>105</v>
      </c>
      <c r="I541" s="16">
        <v>35.630065999999999</v>
      </c>
      <c r="J541" s="16">
        <v>-79.806419000000005</v>
      </c>
      <c r="K541" s="16" t="s">
        <v>54</v>
      </c>
      <c r="L541" s="18">
        <v>45309</v>
      </c>
      <c r="M541" s="13">
        <f>DATEVALUE(TEXT(L541,"mm/dd/yy"))</f>
        <v>45309</v>
      </c>
      <c r="N541" s="17">
        <f>'Electronic Shop Sales Dataset'!$D541*'Electronic Shop Sales Dataset'!$E541</f>
        <v>5327.01</v>
      </c>
      <c r="O541" s="12" cm="1">
        <f t="array" ref="O541">_xlfn.IFS($K541="Website",$N541*0.05, $K541="Mobile App",$N541*0.05,TRUE,0)</f>
        <v>266.35050000000001</v>
      </c>
      <c r="P541" s="14" t="str">
        <f>IF(COUNTIF($G$2:G1116,G541)&gt;1,"Returning","New")</f>
        <v>New</v>
      </c>
      <c r="Q541" s="24" t="str">
        <f t="shared" si="8"/>
        <v>January</v>
      </c>
      <c r="R541" t="str">
        <v>New Arrival</v>
      </c>
    </row>
    <row r="542" spans="1:18" x14ac:dyDescent="0.25">
      <c r="A542" s="10" t="s">
        <v>11</v>
      </c>
      <c r="B542" s="11" t="str">
        <f>'Electronic Shop Sales Dataset'!$A542&amp;"-"&amp;'Electronic Shop Sales Dataset'!$C542</f>
        <v>P00019-Charger</v>
      </c>
      <c r="C542" s="11" t="s">
        <v>32</v>
      </c>
      <c r="D542" s="12">
        <v>24.5</v>
      </c>
      <c r="E542" s="11">
        <v>5</v>
      </c>
      <c r="F542" s="11" t="s">
        <v>21</v>
      </c>
      <c r="G542" s="11" t="s">
        <v>191</v>
      </c>
      <c r="H542" s="11" t="s">
        <v>18</v>
      </c>
      <c r="I542" s="11">
        <v>47.528911999999998</v>
      </c>
      <c r="J542" s="11">
        <v>-99.784012000000004</v>
      </c>
      <c r="K542" s="11" t="s">
        <v>27</v>
      </c>
      <c r="L542" s="13">
        <v>45309</v>
      </c>
      <c r="M542" s="13">
        <f>DATEVALUE(TEXT(L542,"mm/dd/yy"))</f>
        <v>45309</v>
      </c>
      <c r="N542" s="12">
        <f>'Electronic Shop Sales Dataset'!$D542*'Electronic Shop Sales Dataset'!$E542</f>
        <v>122.5</v>
      </c>
      <c r="O542" s="12" cm="1">
        <f t="array" ref="O542">_xlfn.IFS($K542="Website",$N542*0.05, $K542="Mobile App",$N542*0.05,TRUE,0)</f>
        <v>0</v>
      </c>
      <c r="P542" s="14" t="str">
        <f>IF(COUNTIF($G$2:G1117,G542)&gt;1,"Returning","New")</f>
        <v>New</v>
      </c>
      <c r="Q542" s="24" t="str">
        <f t="shared" si="8"/>
        <v>January</v>
      </c>
      <c r="R542" t="str">
        <v>New Arrival</v>
      </c>
    </row>
    <row r="543" spans="1:18" x14ac:dyDescent="0.25">
      <c r="A543" s="15" t="s">
        <v>69</v>
      </c>
      <c r="B543" s="16" t="str">
        <f>'Electronic Shop Sales Dataset'!$A543&amp;"-"&amp;'Electronic Shop Sales Dataset'!$C543</f>
        <v>P00005-Monitor</v>
      </c>
      <c r="C543" s="16" t="s">
        <v>25</v>
      </c>
      <c r="D543" s="17">
        <v>411.08</v>
      </c>
      <c r="E543" s="16">
        <v>3</v>
      </c>
      <c r="F543" s="16" t="s">
        <v>13</v>
      </c>
      <c r="G543" s="16" t="s">
        <v>192</v>
      </c>
      <c r="H543" s="16" t="s">
        <v>99</v>
      </c>
      <c r="I543" s="16">
        <v>37.668140000000001</v>
      </c>
      <c r="J543" s="16">
        <v>-84.670067000000003</v>
      </c>
      <c r="K543" s="16" t="s">
        <v>23</v>
      </c>
      <c r="L543" s="18">
        <v>45310</v>
      </c>
      <c r="M543" s="13">
        <f>DATEVALUE(TEXT(L543,"mm/dd/yy"))</f>
        <v>45310</v>
      </c>
      <c r="N543" s="17">
        <f>'Electronic Shop Sales Dataset'!$D543*'Electronic Shop Sales Dataset'!$E543</f>
        <v>1233.24</v>
      </c>
      <c r="O543" s="12" cm="1">
        <f t="array" ref="O543">_xlfn.IFS($K543="Website",$N543*0.05, $K543="Mobile App",$N543*0.05,TRUE,0)</f>
        <v>0</v>
      </c>
      <c r="P543" s="14" t="str">
        <f>IF(COUNTIF($G$2:G1118,G543)&gt;1,"Returning","New")</f>
        <v>New</v>
      </c>
      <c r="Q543" s="24" t="str">
        <f t="shared" si="8"/>
        <v>January</v>
      </c>
      <c r="R543" t="str">
        <v>New Arrival</v>
      </c>
    </row>
    <row r="544" spans="1:18" x14ac:dyDescent="0.25">
      <c r="A544" s="10" t="s">
        <v>84</v>
      </c>
      <c r="B544" s="11" t="str">
        <f>'Electronic Shop Sales Dataset'!$A544&amp;"-"&amp;'Electronic Shop Sales Dataset'!$C544</f>
        <v>P00020-Printer</v>
      </c>
      <c r="C544" s="11" t="s">
        <v>52</v>
      </c>
      <c r="D544" s="12">
        <v>414.46</v>
      </c>
      <c r="E544" s="11">
        <v>2</v>
      </c>
      <c r="F544" s="11" t="s">
        <v>21</v>
      </c>
      <c r="G544" s="11" t="s">
        <v>193</v>
      </c>
      <c r="H544" s="11" t="s">
        <v>37</v>
      </c>
      <c r="I544" s="11">
        <v>37.769337</v>
      </c>
      <c r="J544" s="11">
        <v>-78.169967999999997</v>
      </c>
      <c r="K544" s="11" t="s">
        <v>27</v>
      </c>
      <c r="L544" s="13">
        <v>45311</v>
      </c>
      <c r="M544" s="13">
        <f>DATEVALUE(TEXT(L544,"mm/dd/yy"))</f>
        <v>45311</v>
      </c>
      <c r="N544" s="12">
        <f>'Electronic Shop Sales Dataset'!$D544*'Electronic Shop Sales Dataset'!$E544</f>
        <v>828.92</v>
      </c>
      <c r="O544" s="12" cm="1">
        <f t="array" ref="O544">_xlfn.IFS($K544="Website",$N544*0.05, $K544="Mobile App",$N544*0.05,TRUE,0)</f>
        <v>0</v>
      </c>
      <c r="P544" s="14" t="str">
        <f>IF(COUNTIF($G$2:G1119,G544)&gt;1,"Returning","New")</f>
        <v>New</v>
      </c>
      <c r="Q544" s="24" t="str">
        <f t="shared" si="8"/>
        <v>January</v>
      </c>
      <c r="R544" t="str">
        <v>New Arrival</v>
      </c>
    </row>
    <row r="545" spans="1:18" x14ac:dyDescent="0.25">
      <c r="A545" s="15" t="s">
        <v>24</v>
      </c>
      <c r="B545" s="16" t="str">
        <f>'Electronic Shop Sales Dataset'!$A545&amp;"-"&amp;'Electronic Shop Sales Dataset'!$C545</f>
        <v>P00013-Power Bank</v>
      </c>
      <c r="C545" s="16" t="s">
        <v>124</v>
      </c>
      <c r="D545" s="17">
        <v>31.05</v>
      </c>
      <c r="E545" s="16">
        <v>4</v>
      </c>
      <c r="F545" s="16" t="s">
        <v>21</v>
      </c>
      <c r="G545" s="16" t="s">
        <v>194</v>
      </c>
      <c r="H545" s="16" t="s">
        <v>14</v>
      </c>
      <c r="I545" s="16">
        <v>42.230170999999999</v>
      </c>
      <c r="J545" s="16">
        <v>-71.530106000000004</v>
      </c>
      <c r="K545" s="16" t="s">
        <v>54</v>
      </c>
      <c r="L545" s="18">
        <v>45312</v>
      </c>
      <c r="M545" s="13">
        <f>DATEVALUE(TEXT(L545,"mm/dd/yy"))</f>
        <v>45312</v>
      </c>
      <c r="N545" s="17">
        <f>'Electronic Shop Sales Dataset'!$D545*'Electronic Shop Sales Dataset'!$E545</f>
        <v>124.2</v>
      </c>
      <c r="O545" s="12" cm="1">
        <f t="array" ref="O545">_xlfn.IFS($K545="Website",$N545*0.05, $K545="Mobile App",$N545*0.05,TRUE,0)</f>
        <v>6.2100000000000009</v>
      </c>
      <c r="P545" s="14" t="str">
        <f>IF(COUNTIF($G$2:G1120,G545)&gt;1,"Returning","New")</f>
        <v>New</v>
      </c>
      <c r="Q545" s="24" t="str">
        <f t="shared" si="8"/>
        <v>January</v>
      </c>
      <c r="R545" t="str">
        <v>New Arrival</v>
      </c>
    </row>
    <row r="546" spans="1:18" x14ac:dyDescent="0.25">
      <c r="A546" s="10" t="s">
        <v>92</v>
      </c>
      <c r="B546" s="11" t="str">
        <f>'Electronic Shop Sales Dataset'!$A546&amp;"-"&amp;'Electronic Shop Sales Dataset'!$C546</f>
        <v>P00004-Smartwatch</v>
      </c>
      <c r="C546" s="11" t="s">
        <v>62</v>
      </c>
      <c r="D546" s="12">
        <v>189.17</v>
      </c>
      <c r="E546" s="11">
        <v>4</v>
      </c>
      <c r="F546" s="11" t="s">
        <v>21</v>
      </c>
      <c r="G546" s="11" t="s">
        <v>195</v>
      </c>
      <c r="H546" s="11" t="s">
        <v>156</v>
      </c>
      <c r="I546" s="11">
        <v>41.125369999999997</v>
      </c>
      <c r="J546" s="11">
        <v>-98.268082000000007</v>
      </c>
      <c r="K546" s="11" t="s">
        <v>15</v>
      </c>
      <c r="L546" s="13">
        <v>45313</v>
      </c>
      <c r="M546" s="13">
        <f>DATEVALUE(TEXT(L546,"mm/dd/yy"))</f>
        <v>45313</v>
      </c>
      <c r="N546" s="12">
        <f>'Electronic Shop Sales Dataset'!$D546*'Electronic Shop Sales Dataset'!$E546</f>
        <v>756.68</v>
      </c>
      <c r="O546" s="12" cm="1">
        <f t="array" ref="O546">_xlfn.IFS($K546="Website",$N546*0.05, $K546="Mobile App",$N546*0.05,TRUE,0)</f>
        <v>0</v>
      </c>
      <c r="P546" s="14" t="str">
        <f>IF(COUNTIF($G$2:G1121,G546)&gt;1,"Returning","New")</f>
        <v>New</v>
      </c>
      <c r="Q546" s="24" t="str">
        <f t="shared" si="8"/>
        <v>January</v>
      </c>
      <c r="R546" t="str">
        <v>New Arrival</v>
      </c>
    </row>
    <row r="547" spans="1:18" x14ac:dyDescent="0.25">
      <c r="A547" s="15" t="s">
        <v>79</v>
      </c>
      <c r="B547" s="16" t="str">
        <f>'Electronic Shop Sales Dataset'!$A547&amp;"-"&amp;'Electronic Shop Sales Dataset'!$C547</f>
        <v>P00012-Camera</v>
      </c>
      <c r="C547" s="16" t="s">
        <v>46</v>
      </c>
      <c r="D547" s="17">
        <v>723.14</v>
      </c>
      <c r="E547" s="16">
        <v>3</v>
      </c>
      <c r="F547" s="16" t="s">
        <v>13</v>
      </c>
      <c r="G547" s="16" t="s">
        <v>196</v>
      </c>
      <c r="H547" s="16" t="s">
        <v>57</v>
      </c>
      <c r="I547" s="16">
        <v>40.150032000000003</v>
      </c>
      <c r="J547" s="16">
        <v>-111.86243399999999</v>
      </c>
      <c r="K547" s="16" t="s">
        <v>54</v>
      </c>
      <c r="L547" s="18">
        <v>45313</v>
      </c>
      <c r="M547" s="13">
        <f>DATEVALUE(TEXT(L547,"mm/dd/yy"))</f>
        <v>45313</v>
      </c>
      <c r="N547" s="17">
        <f>'Electronic Shop Sales Dataset'!$D547*'Electronic Shop Sales Dataset'!$E547</f>
        <v>2169.42</v>
      </c>
      <c r="O547" s="12" cm="1">
        <f t="array" ref="O547">_xlfn.IFS($K547="Website",$N547*0.05, $K547="Mobile App",$N547*0.05,TRUE,0)</f>
        <v>108.471</v>
      </c>
      <c r="P547" s="14" t="str">
        <f>IF(COUNTIF($G$2:G1122,G547)&gt;1,"Returning","New")</f>
        <v>New</v>
      </c>
      <c r="Q547" s="24" t="str">
        <f t="shared" si="8"/>
        <v>January</v>
      </c>
      <c r="R547" t="str">
        <v>New Arrival</v>
      </c>
    </row>
    <row r="548" spans="1:18" x14ac:dyDescent="0.25">
      <c r="A548" s="10" t="s">
        <v>79</v>
      </c>
      <c r="B548" s="11" t="str">
        <f>'Electronic Shop Sales Dataset'!$A548&amp;"-"&amp;'Electronic Shop Sales Dataset'!$C548</f>
        <v>P00012-USB Drive</v>
      </c>
      <c r="C548" s="11" t="s">
        <v>36</v>
      </c>
      <c r="D548" s="12">
        <v>41.28</v>
      </c>
      <c r="E548" s="11">
        <v>5</v>
      </c>
      <c r="F548" s="11" t="s">
        <v>21</v>
      </c>
      <c r="G548" s="11" t="s">
        <v>197</v>
      </c>
      <c r="H548" s="11" t="s">
        <v>156</v>
      </c>
      <c r="I548" s="11">
        <v>41.125369999999997</v>
      </c>
      <c r="J548" s="11">
        <v>-98.268082000000007</v>
      </c>
      <c r="K548" s="11" t="s">
        <v>15</v>
      </c>
      <c r="L548" s="13">
        <v>45313</v>
      </c>
      <c r="M548" s="13">
        <f>DATEVALUE(TEXT(L548,"mm/dd/yy"))</f>
        <v>45313</v>
      </c>
      <c r="N548" s="12">
        <f>'Electronic Shop Sales Dataset'!$D548*'Electronic Shop Sales Dataset'!$E548</f>
        <v>206.4</v>
      </c>
      <c r="O548" s="12" cm="1">
        <f t="array" ref="O548">_xlfn.IFS($K548="Website",$N548*0.05, $K548="Mobile App",$N548*0.05,TRUE,0)</f>
        <v>0</v>
      </c>
      <c r="P548" s="14" t="str">
        <f>IF(COUNTIF($G$2:G1123,G548)&gt;1,"Returning","New")</f>
        <v>New</v>
      </c>
      <c r="Q548" s="24" t="str">
        <f t="shared" si="8"/>
        <v>January</v>
      </c>
      <c r="R548" t="str">
        <v>New Arrival</v>
      </c>
    </row>
    <row r="549" spans="1:18" x14ac:dyDescent="0.25">
      <c r="A549" s="15" t="s">
        <v>38</v>
      </c>
      <c r="B549" s="16" t="str">
        <f>'Electronic Shop Sales Dataset'!$A549&amp;"-"&amp;'Electronic Shop Sales Dataset'!$C549</f>
        <v>P00007-Scanner</v>
      </c>
      <c r="C549" s="16" t="s">
        <v>71</v>
      </c>
      <c r="D549" s="17">
        <v>184.03</v>
      </c>
      <c r="E549" s="16">
        <v>5</v>
      </c>
      <c r="F549" s="16" t="s">
        <v>13</v>
      </c>
      <c r="G549" s="16" t="s">
        <v>198</v>
      </c>
      <c r="H549" s="16" t="s">
        <v>53</v>
      </c>
      <c r="I549" s="16">
        <v>40.298904</v>
      </c>
      <c r="J549" s="16">
        <v>-74.521011000000001</v>
      </c>
      <c r="K549" s="16" t="s">
        <v>23</v>
      </c>
      <c r="L549" s="18">
        <v>45314</v>
      </c>
      <c r="M549" s="13">
        <f>DATEVALUE(TEXT(L549,"mm/dd/yy"))</f>
        <v>45314</v>
      </c>
      <c r="N549" s="17">
        <f>'Electronic Shop Sales Dataset'!$D549*'Electronic Shop Sales Dataset'!$E549</f>
        <v>920.15</v>
      </c>
      <c r="O549" s="12" cm="1">
        <f t="array" ref="O549">_xlfn.IFS($K549="Website",$N549*0.05, $K549="Mobile App",$N549*0.05,TRUE,0)</f>
        <v>0</v>
      </c>
      <c r="P549" s="14" t="str">
        <f>IF(COUNTIF($G$2:G1124,G549)&gt;1,"Returning","New")</f>
        <v>New</v>
      </c>
      <c r="Q549" s="24" t="str">
        <f t="shared" si="8"/>
        <v>January</v>
      </c>
      <c r="R549" t="str">
        <v>New Arrival</v>
      </c>
    </row>
    <row r="550" spans="1:18" x14ac:dyDescent="0.25">
      <c r="A550" s="10" t="s">
        <v>51</v>
      </c>
      <c r="B550" s="11" t="str">
        <f>'Electronic Shop Sales Dataset'!$A550&amp;"-"&amp;'Electronic Shop Sales Dataset'!$C550</f>
        <v>P00017-Camera</v>
      </c>
      <c r="C550" s="11" t="s">
        <v>46</v>
      </c>
      <c r="D550" s="12">
        <v>1322.59</v>
      </c>
      <c r="E550" s="11">
        <v>1</v>
      </c>
      <c r="F550" s="11" t="s">
        <v>43</v>
      </c>
      <c r="G550" s="11" t="s">
        <v>199</v>
      </c>
      <c r="H550" s="11" t="s">
        <v>100</v>
      </c>
      <c r="I550" s="11">
        <v>45.694454</v>
      </c>
      <c r="J550" s="11">
        <v>-93.900192000000004</v>
      </c>
      <c r="K550" s="11" t="s">
        <v>15</v>
      </c>
      <c r="L550" s="13">
        <v>45314</v>
      </c>
      <c r="M550" s="13">
        <f>DATEVALUE(TEXT(L550,"mm/dd/yy"))</f>
        <v>45314</v>
      </c>
      <c r="N550" s="12">
        <f>'Electronic Shop Sales Dataset'!$D550*'Electronic Shop Sales Dataset'!$E550</f>
        <v>1322.59</v>
      </c>
      <c r="O550" s="12" cm="1">
        <f t="array" ref="O550">_xlfn.IFS($K550="Website",$N550*0.05, $K550="Mobile App",$N550*0.05,TRUE,0)</f>
        <v>0</v>
      </c>
      <c r="P550" s="14" t="str">
        <f>IF(COUNTIF($G$2:G1125,G550)&gt;1,"Returning","New")</f>
        <v>New</v>
      </c>
      <c r="Q550" s="24" t="str">
        <f t="shared" si="8"/>
        <v>January</v>
      </c>
      <c r="R550" t="str">
        <v>New Arrival</v>
      </c>
    </row>
    <row r="551" spans="1:18" x14ac:dyDescent="0.25">
      <c r="A551" s="15" t="s">
        <v>69</v>
      </c>
      <c r="B551" s="16" t="str">
        <f>'Electronic Shop Sales Dataset'!$A551&amp;"-"&amp;'Electronic Shop Sales Dataset'!$C551</f>
        <v>P00005-Headphones</v>
      </c>
      <c r="C551" s="16" t="s">
        <v>55</v>
      </c>
      <c r="D551" s="17">
        <v>173.18</v>
      </c>
      <c r="E551" s="16">
        <v>1</v>
      </c>
      <c r="F551" s="16" t="s">
        <v>13</v>
      </c>
      <c r="G551" s="16" t="s">
        <v>200</v>
      </c>
      <c r="H551" s="16" t="s">
        <v>116</v>
      </c>
      <c r="I551" s="16">
        <v>43.452491999999999</v>
      </c>
      <c r="J551" s="16">
        <v>-71.563896</v>
      </c>
      <c r="K551" s="16" t="s">
        <v>54</v>
      </c>
      <c r="L551" s="18">
        <v>45315</v>
      </c>
      <c r="M551" s="13">
        <f>DATEVALUE(TEXT(L551,"mm/dd/yy"))</f>
        <v>45315</v>
      </c>
      <c r="N551" s="17">
        <f>'Electronic Shop Sales Dataset'!$D551*'Electronic Shop Sales Dataset'!$E551</f>
        <v>173.18</v>
      </c>
      <c r="O551" s="12" cm="1">
        <f t="array" ref="O551">_xlfn.IFS($K551="Website",$N551*0.05, $K551="Mobile App",$N551*0.05,TRUE,0)</f>
        <v>8.6590000000000007</v>
      </c>
      <c r="P551" s="14" t="str">
        <f>IF(COUNTIF($G$2:G1126,G551)&gt;1,"Returning","New")</f>
        <v>New</v>
      </c>
      <c r="Q551" s="24" t="str">
        <f t="shared" si="8"/>
        <v>January</v>
      </c>
      <c r="R551" t="str">
        <v>New Arrival</v>
      </c>
    </row>
    <row r="552" spans="1:18" x14ac:dyDescent="0.25">
      <c r="A552" s="10" t="s">
        <v>90</v>
      </c>
      <c r="B552" s="11" t="str">
        <f>'Electronic Shop Sales Dataset'!$A552&amp;"-"&amp;'Electronic Shop Sales Dataset'!$C552</f>
        <v>P00014-Smart Home Hub</v>
      </c>
      <c r="C552" s="11" t="s">
        <v>42</v>
      </c>
      <c r="D552" s="12">
        <v>379.27</v>
      </c>
      <c r="E552" s="11">
        <v>1</v>
      </c>
      <c r="F552" s="11" t="s">
        <v>13</v>
      </c>
      <c r="G552" s="11" t="s">
        <v>201</v>
      </c>
      <c r="H552" s="11" t="s">
        <v>116</v>
      </c>
      <c r="I552" s="11">
        <v>43.452491999999999</v>
      </c>
      <c r="J552" s="11">
        <v>-71.563896</v>
      </c>
      <c r="K552" s="11" t="s">
        <v>23</v>
      </c>
      <c r="L552" s="13">
        <v>45315</v>
      </c>
      <c r="M552" s="13">
        <f>DATEVALUE(TEXT(L552,"mm/dd/yy"))</f>
        <v>45315</v>
      </c>
      <c r="N552" s="12">
        <f>'Electronic Shop Sales Dataset'!$D552*'Electronic Shop Sales Dataset'!$E552</f>
        <v>379.27</v>
      </c>
      <c r="O552" s="12" cm="1">
        <f t="array" ref="O552">_xlfn.IFS($K552="Website",$N552*0.05, $K552="Mobile App",$N552*0.05,TRUE,0)</f>
        <v>0</v>
      </c>
      <c r="P552" s="14" t="str">
        <f>IF(COUNTIF($G$2:G1127,G552)&gt;1,"Returning","New")</f>
        <v>New</v>
      </c>
      <c r="Q552" s="24" t="str">
        <f t="shared" si="8"/>
        <v>January</v>
      </c>
      <c r="R552" t="str">
        <v>New Arrival</v>
      </c>
    </row>
    <row r="553" spans="1:18" x14ac:dyDescent="0.25">
      <c r="A553" s="15" t="s">
        <v>31</v>
      </c>
      <c r="B553" s="16" t="str">
        <f>'Electronic Shop Sales Dataset'!$A553&amp;"-"&amp;'Electronic Shop Sales Dataset'!$C553</f>
        <v>P00022-Speaker</v>
      </c>
      <c r="C553" s="16" t="s">
        <v>106</v>
      </c>
      <c r="D553" s="17">
        <v>113.02</v>
      </c>
      <c r="E553" s="16">
        <v>5</v>
      </c>
      <c r="F553" s="16" t="s">
        <v>21</v>
      </c>
      <c r="G553" s="16" t="s">
        <v>203</v>
      </c>
      <c r="H553" s="16" t="s">
        <v>50</v>
      </c>
      <c r="I553" s="16">
        <v>47.400902000000002</v>
      </c>
      <c r="J553" s="16">
        <v>-121.490494</v>
      </c>
      <c r="K553" s="16" t="s">
        <v>54</v>
      </c>
      <c r="L553" s="18">
        <v>45315</v>
      </c>
      <c r="M553" s="13">
        <f>DATEVALUE(TEXT(L553,"mm/dd/yy"))</f>
        <v>45315</v>
      </c>
      <c r="N553" s="17">
        <f>'Electronic Shop Sales Dataset'!$D553*'Electronic Shop Sales Dataset'!$E553</f>
        <v>565.1</v>
      </c>
      <c r="O553" s="12" cm="1">
        <f t="array" ref="O553">_xlfn.IFS($K553="Website",$N553*0.05, $K553="Mobile App",$N553*0.05,TRUE,0)</f>
        <v>28.255000000000003</v>
      </c>
      <c r="P553" s="14" t="str">
        <f>IF(COUNTIF($G$2:G1128,G553)&gt;1,"Returning","New")</f>
        <v>New</v>
      </c>
      <c r="Q553" s="24" t="str">
        <f t="shared" si="8"/>
        <v>January</v>
      </c>
      <c r="R553" t="str">
        <v>New Arrival</v>
      </c>
    </row>
    <row r="554" spans="1:18" x14ac:dyDescent="0.25">
      <c r="A554" s="10" t="s">
        <v>88</v>
      </c>
      <c r="B554" s="11" t="str">
        <f>'Electronic Shop Sales Dataset'!$A554&amp;"-"&amp;'Electronic Shop Sales Dataset'!$C554</f>
        <v>P00018-Headphones</v>
      </c>
      <c r="C554" s="11" t="s">
        <v>55</v>
      </c>
      <c r="D554" s="12">
        <v>253.94</v>
      </c>
      <c r="E554" s="11">
        <v>1</v>
      </c>
      <c r="F554" s="11" t="s">
        <v>43</v>
      </c>
      <c r="G554" s="11" t="s">
        <v>205</v>
      </c>
      <c r="H554" s="11" t="s">
        <v>105</v>
      </c>
      <c r="I554" s="11">
        <v>35.630065999999999</v>
      </c>
      <c r="J554" s="11">
        <v>-79.806419000000005</v>
      </c>
      <c r="K554" s="11" t="s">
        <v>54</v>
      </c>
      <c r="L554" s="13">
        <v>45315</v>
      </c>
      <c r="M554" s="13">
        <f>DATEVALUE(TEXT(L554,"mm/dd/yy"))</f>
        <v>45315</v>
      </c>
      <c r="N554" s="12">
        <f>'Electronic Shop Sales Dataset'!$D554*'Electronic Shop Sales Dataset'!$E554</f>
        <v>253.94</v>
      </c>
      <c r="O554" s="12" cm="1">
        <f t="array" ref="O554">_xlfn.IFS($K554="Website",$N554*0.05, $K554="Mobile App",$N554*0.05,TRUE,0)</f>
        <v>12.697000000000001</v>
      </c>
      <c r="P554" s="14" t="str">
        <f>IF(COUNTIF($G$2:G1129,G554)&gt;1,"Returning","New")</f>
        <v>New</v>
      </c>
      <c r="Q554" s="24" t="str">
        <f t="shared" si="8"/>
        <v>January</v>
      </c>
      <c r="R554" t="str">
        <v>New Arrival</v>
      </c>
    </row>
    <row r="555" spans="1:18" x14ac:dyDescent="0.25">
      <c r="A555" s="15" t="s">
        <v>92</v>
      </c>
      <c r="B555" s="16" t="str">
        <f>'Electronic Shop Sales Dataset'!$A555&amp;"-"&amp;'Electronic Shop Sales Dataset'!$C555</f>
        <v>P00004-Gaming Console</v>
      </c>
      <c r="C555" s="16" t="s">
        <v>17</v>
      </c>
      <c r="D555" s="17">
        <v>488.82</v>
      </c>
      <c r="E555" s="16">
        <v>4</v>
      </c>
      <c r="F555" s="16" t="s">
        <v>43</v>
      </c>
      <c r="G555" s="16" t="s">
        <v>206</v>
      </c>
      <c r="H555" s="16" t="s">
        <v>80</v>
      </c>
      <c r="I555" s="16">
        <v>39.318522999999999</v>
      </c>
      <c r="J555" s="16">
        <v>-75.507141000000004</v>
      </c>
      <c r="K555" s="16" t="s">
        <v>27</v>
      </c>
      <c r="L555" s="18">
        <v>45316</v>
      </c>
      <c r="M555" s="13">
        <f>DATEVALUE(TEXT(L555,"mm/dd/yy"))</f>
        <v>45316</v>
      </c>
      <c r="N555" s="17">
        <f>'Electronic Shop Sales Dataset'!$D555*'Electronic Shop Sales Dataset'!$E555</f>
        <v>1955.28</v>
      </c>
      <c r="O555" s="12" cm="1">
        <f t="array" ref="O555">_xlfn.IFS($K555="Website",$N555*0.05, $K555="Mobile App",$N555*0.05,TRUE,0)</f>
        <v>0</v>
      </c>
      <c r="P555" s="14" t="str">
        <f>IF(COUNTIF($G$2:G1130,G555)&gt;1,"Returning","New")</f>
        <v>New</v>
      </c>
      <c r="Q555" s="24" t="str">
        <f t="shared" si="8"/>
        <v>January</v>
      </c>
      <c r="R555" t="str">
        <v>New Arrival</v>
      </c>
    </row>
    <row r="556" spans="1:18" x14ac:dyDescent="0.25">
      <c r="A556" s="10" t="s">
        <v>58</v>
      </c>
      <c r="B556" s="11" t="str">
        <f>'Electronic Shop Sales Dataset'!$A556&amp;"-"&amp;'Electronic Shop Sales Dataset'!$C556</f>
        <v>P00009-Printer</v>
      </c>
      <c r="C556" s="11" t="s">
        <v>52</v>
      </c>
      <c r="D556" s="12">
        <v>456.48</v>
      </c>
      <c r="E556" s="11">
        <v>5</v>
      </c>
      <c r="F556" s="11" t="s">
        <v>13</v>
      </c>
      <c r="G556" s="11" t="s">
        <v>207</v>
      </c>
      <c r="H556" s="11" t="s">
        <v>94</v>
      </c>
      <c r="I556" s="11">
        <v>41.597782000000002</v>
      </c>
      <c r="J556" s="11">
        <v>-72.755370999999997</v>
      </c>
      <c r="K556" s="11" t="s">
        <v>48</v>
      </c>
      <c r="L556" s="13">
        <v>45316</v>
      </c>
      <c r="M556" s="13">
        <f>DATEVALUE(TEXT(L556,"mm/dd/yy"))</f>
        <v>45316</v>
      </c>
      <c r="N556" s="12">
        <f>'Electronic Shop Sales Dataset'!$D556*'Electronic Shop Sales Dataset'!$E556</f>
        <v>2282.4</v>
      </c>
      <c r="O556" s="12" cm="1">
        <f t="array" ref="O556">_xlfn.IFS($K556="Website",$N556*0.05, $K556="Mobile App",$N556*0.05,TRUE,0)</f>
        <v>114.12</v>
      </c>
      <c r="P556" s="14" t="str">
        <f>IF(COUNTIF($G$2:G1131,G556)&gt;1,"Returning","New")</f>
        <v>New</v>
      </c>
      <c r="Q556" s="24" t="str">
        <f t="shared" si="8"/>
        <v>January</v>
      </c>
      <c r="R556" t="str">
        <v>New Arrival</v>
      </c>
    </row>
    <row r="557" spans="1:18" x14ac:dyDescent="0.25">
      <c r="A557" s="15" t="s">
        <v>117</v>
      </c>
      <c r="B557" s="16" t="str">
        <f>'Electronic Shop Sales Dataset'!$A557&amp;"-"&amp;'Electronic Shop Sales Dataset'!$C557</f>
        <v>P00016-Smart TV</v>
      </c>
      <c r="C557" s="16" t="s">
        <v>74</v>
      </c>
      <c r="D557" s="17">
        <v>1154.1199999999999</v>
      </c>
      <c r="E557" s="16">
        <v>2</v>
      </c>
      <c r="F557" s="16" t="s">
        <v>13</v>
      </c>
      <c r="G557" s="16" t="s">
        <v>208</v>
      </c>
      <c r="H557" s="16" t="s">
        <v>109</v>
      </c>
      <c r="I557" s="16">
        <v>44.299782</v>
      </c>
      <c r="J557" s="16">
        <v>-99.438828000000001</v>
      </c>
      <c r="K557" s="16" t="s">
        <v>27</v>
      </c>
      <c r="L557" s="18">
        <v>45317</v>
      </c>
      <c r="M557" s="13">
        <f>DATEVALUE(TEXT(L557,"mm/dd/yy"))</f>
        <v>45317</v>
      </c>
      <c r="N557" s="17">
        <f>'Electronic Shop Sales Dataset'!$D557*'Electronic Shop Sales Dataset'!$E557</f>
        <v>2308.2399999999998</v>
      </c>
      <c r="O557" s="12" cm="1">
        <f t="array" ref="O557">_xlfn.IFS($K557="Website",$N557*0.05, $K557="Mobile App",$N557*0.05,TRUE,0)</f>
        <v>0</v>
      </c>
      <c r="P557" s="14" t="str">
        <f>IF(COUNTIF($G$2:G1132,G557)&gt;1,"Returning","New")</f>
        <v>New</v>
      </c>
      <c r="Q557" s="24" t="str">
        <f t="shared" si="8"/>
        <v>January</v>
      </c>
      <c r="R557" t="str">
        <v>New Arrival</v>
      </c>
    </row>
    <row r="558" spans="1:18" x14ac:dyDescent="0.25">
      <c r="A558" s="10" t="s">
        <v>16</v>
      </c>
      <c r="B558" s="11" t="str">
        <f>'Electronic Shop Sales Dataset'!$A558&amp;"-"&amp;'Electronic Shop Sales Dataset'!$C558</f>
        <v>P00010-Smart Home Hub</v>
      </c>
      <c r="C558" s="11" t="s">
        <v>42</v>
      </c>
      <c r="D558" s="12">
        <v>326.82</v>
      </c>
      <c r="E558" s="11">
        <v>3</v>
      </c>
      <c r="F558" s="11" t="s">
        <v>33</v>
      </c>
      <c r="G558" s="11" t="s">
        <v>209</v>
      </c>
      <c r="H558" s="11" t="s">
        <v>103</v>
      </c>
      <c r="I558" s="11">
        <v>43.326618000000003</v>
      </c>
      <c r="J558" s="11">
        <v>-84.536095000000003</v>
      </c>
      <c r="K558" s="11" t="s">
        <v>23</v>
      </c>
      <c r="L558" s="13">
        <v>45318</v>
      </c>
      <c r="M558" s="13">
        <f>DATEVALUE(TEXT(L558,"mm/dd/yy"))</f>
        <v>45318</v>
      </c>
      <c r="N558" s="12">
        <f>'Electronic Shop Sales Dataset'!$D558*'Electronic Shop Sales Dataset'!$E558</f>
        <v>980.46</v>
      </c>
      <c r="O558" s="12" cm="1">
        <f t="array" ref="O558">_xlfn.IFS($K558="Website",$N558*0.05, $K558="Mobile App",$N558*0.05,TRUE,0)</f>
        <v>0</v>
      </c>
      <c r="P558" s="14" t="str">
        <f>IF(COUNTIF($G$2:G1133,G558)&gt;1,"Returning","New")</f>
        <v>New</v>
      </c>
      <c r="Q558" s="24" t="str">
        <f t="shared" si="8"/>
        <v>January</v>
      </c>
      <c r="R558" t="str">
        <v>New Arrival</v>
      </c>
    </row>
    <row r="559" spans="1:18" x14ac:dyDescent="0.25">
      <c r="A559" s="15" t="s">
        <v>28</v>
      </c>
      <c r="B559" s="16" t="str">
        <f>'Electronic Shop Sales Dataset'!$A559&amp;"-"&amp;'Electronic Shop Sales Dataset'!$C559</f>
        <v>P00006-Printer</v>
      </c>
      <c r="C559" s="16" t="s">
        <v>52</v>
      </c>
      <c r="D559" s="17">
        <v>303.27</v>
      </c>
      <c r="E559" s="16">
        <v>5</v>
      </c>
      <c r="F559" s="16" t="s">
        <v>21</v>
      </c>
      <c r="G559" s="16" t="s">
        <v>210</v>
      </c>
      <c r="H559" s="16" t="s">
        <v>87</v>
      </c>
      <c r="I559" s="16">
        <v>33.729759000000001</v>
      </c>
      <c r="J559" s="16">
        <v>-111.43122099999999</v>
      </c>
      <c r="K559" s="16" t="s">
        <v>15</v>
      </c>
      <c r="L559" s="18">
        <v>45319</v>
      </c>
      <c r="M559" s="13">
        <f>DATEVALUE(TEXT(L559,"mm/dd/yy"))</f>
        <v>45319</v>
      </c>
      <c r="N559" s="17">
        <f>'Electronic Shop Sales Dataset'!$D559*'Electronic Shop Sales Dataset'!$E559</f>
        <v>1516.35</v>
      </c>
      <c r="O559" s="12" cm="1">
        <f t="array" ref="O559">_xlfn.IFS($K559="Website",$N559*0.05, $K559="Mobile App",$N559*0.05,TRUE,0)</f>
        <v>0</v>
      </c>
      <c r="P559" s="14" t="str">
        <f>IF(COUNTIF($G$2:G1134,G559)&gt;1,"Returning","New")</f>
        <v>New</v>
      </c>
      <c r="Q559" s="24" t="str">
        <f t="shared" si="8"/>
        <v>January</v>
      </c>
      <c r="R559" t="str">
        <v>New Arrival</v>
      </c>
    </row>
    <row r="560" spans="1:18" x14ac:dyDescent="0.25">
      <c r="A560" s="10" t="s">
        <v>102</v>
      </c>
      <c r="B560" s="11" t="str">
        <f>'Electronic Shop Sales Dataset'!$A560&amp;"-"&amp;'Electronic Shop Sales Dataset'!$C560</f>
        <v>P00001-Power Bank</v>
      </c>
      <c r="C560" s="11" t="s">
        <v>124</v>
      </c>
      <c r="D560" s="12">
        <v>50.77</v>
      </c>
      <c r="E560" s="11">
        <v>1</v>
      </c>
      <c r="F560" s="11" t="s">
        <v>43</v>
      </c>
      <c r="G560" s="11" t="s">
        <v>211</v>
      </c>
      <c r="H560" s="11" t="s">
        <v>63</v>
      </c>
      <c r="I560" s="11">
        <v>34.840515000000003</v>
      </c>
      <c r="J560" s="11">
        <v>-106.248482</v>
      </c>
      <c r="K560" s="11" t="s">
        <v>54</v>
      </c>
      <c r="L560" s="13">
        <v>45321</v>
      </c>
      <c r="M560" s="13">
        <f>DATEVALUE(TEXT(L560,"mm/dd/yy"))</f>
        <v>45321</v>
      </c>
      <c r="N560" s="12">
        <f>'Electronic Shop Sales Dataset'!$D560*'Electronic Shop Sales Dataset'!$E560</f>
        <v>50.77</v>
      </c>
      <c r="O560" s="12" cm="1">
        <f t="array" ref="O560">_xlfn.IFS($K560="Website",$N560*0.05, $K560="Mobile App",$N560*0.05,TRUE,0)</f>
        <v>2.5385000000000004</v>
      </c>
      <c r="P560" s="14" t="str">
        <f>IF(COUNTIF($G$2:G1135,G560)&gt;1,"Returning","New")</f>
        <v>New</v>
      </c>
      <c r="Q560" s="24" t="str">
        <f t="shared" si="8"/>
        <v>January</v>
      </c>
      <c r="R560" t="str">
        <v>New Arrival</v>
      </c>
    </row>
    <row r="561" spans="1:18" x14ac:dyDescent="0.25">
      <c r="A561" s="15" t="s">
        <v>16</v>
      </c>
      <c r="B561" s="16" t="str">
        <f>'Electronic Shop Sales Dataset'!$A561&amp;"-"&amp;'Electronic Shop Sales Dataset'!$C561</f>
        <v>P00010-Headphones</v>
      </c>
      <c r="C561" s="16" t="s">
        <v>55</v>
      </c>
      <c r="D561" s="17">
        <v>124.39</v>
      </c>
      <c r="E561" s="16">
        <v>3</v>
      </c>
      <c r="F561" s="16" t="s">
        <v>13</v>
      </c>
      <c r="G561" s="16" t="s">
        <v>212</v>
      </c>
      <c r="H561" s="16" t="s">
        <v>143</v>
      </c>
      <c r="I561" s="16">
        <v>35.565342000000001</v>
      </c>
      <c r="J561" s="16">
        <v>-96.928916999999998</v>
      </c>
      <c r="K561" s="16" t="s">
        <v>48</v>
      </c>
      <c r="L561" s="18">
        <v>45323</v>
      </c>
      <c r="M561" s="13">
        <f>DATEVALUE(TEXT(L561,"mm/dd/yy"))</f>
        <v>45323</v>
      </c>
      <c r="N561" s="17">
        <f>'Electronic Shop Sales Dataset'!$D561*'Electronic Shop Sales Dataset'!$E561</f>
        <v>373.17</v>
      </c>
      <c r="O561" s="12" cm="1">
        <f t="array" ref="O561">_xlfn.IFS($K561="Website",$N561*0.05, $K561="Mobile App",$N561*0.05,TRUE,0)</f>
        <v>18.6585</v>
      </c>
      <c r="P561" s="14" t="str">
        <f>IF(COUNTIF($G$2:G1136,G561)&gt;1,"Returning","New")</f>
        <v>New</v>
      </c>
      <c r="Q561" s="24" t="str">
        <f t="shared" si="8"/>
        <v>February</v>
      </c>
      <c r="R561" t="str">
        <v>New Arrival</v>
      </c>
    </row>
    <row r="562" spans="1:18" x14ac:dyDescent="0.25">
      <c r="A562" s="10" t="s">
        <v>92</v>
      </c>
      <c r="B562" s="11" t="str">
        <f>'Electronic Shop Sales Dataset'!$A562&amp;"-"&amp;'Electronic Shop Sales Dataset'!$C562</f>
        <v>P00004-Smartphone</v>
      </c>
      <c r="C562" s="11" t="s">
        <v>12</v>
      </c>
      <c r="D562" s="12">
        <v>395.36</v>
      </c>
      <c r="E562" s="11">
        <v>5</v>
      </c>
      <c r="F562" s="11" t="s">
        <v>21</v>
      </c>
      <c r="G562" s="11" t="s">
        <v>213</v>
      </c>
      <c r="H562" s="11" t="s">
        <v>67</v>
      </c>
      <c r="I562" s="11">
        <v>46.921925000000002</v>
      </c>
      <c r="J562" s="11">
        <v>-110.454353</v>
      </c>
      <c r="K562" s="11" t="s">
        <v>27</v>
      </c>
      <c r="L562" s="13">
        <v>45324</v>
      </c>
      <c r="M562" s="13">
        <f>DATEVALUE(TEXT(L562,"mm/dd/yy"))</f>
        <v>45324</v>
      </c>
      <c r="N562" s="12">
        <f>'Electronic Shop Sales Dataset'!$D562*'Electronic Shop Sales Dataset'!$E562</f>
        <v>1976.8000000000002</v>
      </c>
      <c r="O562" s="12" cm="1">
        <f t="array" ref="O562">_xlfn.IFS($K562="Website",$N562*0.05, $K562="Mobile App",$N562*0.05,TRUE,0)</f>
        <v>0</v>
      </c>
      <c r="P562" s="14" t="str">
        <f>IF(COUNTIF($G$2:G1137,G562)&gt;1,"Returning","New")</f>
        <v>New</v>
      </c>
      <c r="Q562" s="24" t="str">
        <f t="shared" si="8"/>
        <v>February</v>
      </c>
      <c r="R562" t="str">
        <v>New Arrival</v>
      </c>
    </row>
    <row r="563" spans="1:18" x14ac:dyDescent="0.25">
      <c r="A563" s="15" t="s">
        <v>79</v>
      </c>
      <c r="B563" s="16" t="str">
        <f>'Electronic Shop Sales Dataset'!$A563&amp;"-"&amp;'Electronic Shop Sales Dataset'!$C563</f>
        <v>P00012-Power Bank</v>
      </c>
      <c r="C563" s="16" t="s">
        <v>124</v>
      </c>
      <c r="D563" s="17">
        <v>73.459999999999994</v>
      </c>
      <c r="E563" s="16">
        <v>3</v>
      </c>
      <c r="F563" s="16" t="s">
        <v>13</v>
      </c>
      <c r="G563" s="16" t="s">
        <v>214</v>
      </c>
      <c r="H563" s="16" t="s">
        <v>132</v>
      </c>
      <c r="I563" s="16">
        <v>27.766279000000001</v>
      </c>
      <c r="J563" s="16">
        <v>-81.686783000000005</v>
      </c>
      <c r="K563" s="16" t="s">
        <v>27</v>
      </c>
      <c r="L563" s="18">
        <v>45324</v>
      </c>
      <c r="M563" s="13">
        <f>DATEVALUE(TEXT(L563,"mm/dd/yy"))</f>
        <v>45324</v>
      </c>
      <c r="N563" s="17">
        <f>'Electronic Shop Sales Dataset'!$D563*'Electronic Shop Sales Dataset'!$E563</f>
        <v>220.38</v>
      </c>
      <c r="O563" s="12" cm="1">
        <f t="array" ref="O563">_xlfn.IFS($K563="Website",$N563*0.05, $K563="Mobile App",$N563*0.05,TRUE,0)</f>
        <v>0</v>
      </c>
      <c r="P563" s="14" t="str">
        <f>IF(COUNTIF($G$2:G1138,G563)&gt;1,"Returning","New")</f>
        <v>New</v>
      </c>
      <c r="Q563" s="24" t="str">
        <f t="shared" si="8"/>
        <v>February</v>
      </c>
      <c r="R563" t="str">
        <v>New Arrival</v>
      </c>
    </row>
    <row r="564" spans="1:18" x14ac:dyDescent="0.25">
      <c r="A564" s="10" t="s">
        <v>16</v>
      </c>
      <c r="B564" s="11" t="str">
        <f>'Electronic Shop Sales Dataset'!$A564&amp;"-"&amp;'Electronic Shop Sales Dataset'!$C564</f>
        <v>P00010-Keyboard</v>
      </c>
      <c r="C564" s="11" t="s">
        <v>29</v>
      </c>
      <c r="D564" s="12">
        <v>47.26</v>
      </c>
      <c r="E564" s="11">
        <v>5</v>
      </c>
      <c r="F564" s="11" t="s">
        <v>13</v>
      </c>
      <c r="G564" s="11" t="s">
        <v>215</v>
      </c>
      <c r="H564" s="11" t="s">
        <v>93</v>
      </c>
      <c r="I564" s="11">
        <v>38.491225999999997</v>
      </c>
      <c r="J564" s="11">
        <v>-80.954455999999993</v>
      </c>
      <c r="K564" s="11" t="s">
        <v>23</v>
      </c>
      <c r="L564" s="13">
        <v>45327</v>
      </c>
      <c r="M564" s="13">
        <f>DATEVALUE(TEXT(L564,"mm/dd/yy"))</f>
        <v>45327</v>
      </c>
      <c r="N564" s="12">
        <f>'Electronic Shop Sales Dataset'!$D564*'Electronic Shop Sales Dataset'!$E564</f>
        <v>236.29999999999998</v>
      </c>
      <c r="O564" s="12" cm="1">
        <f t="array" ref="O564">_xlfn.IFS($K564="Website",$N564*0.05, $K564="Mobile App",$N564*0.05,TRUE,0)</f>
        <v>0</v>
      </c>
      <c r="P564" s="14" t="str">
        <f>IF(COUNTIF($G$2:G1139,G564)&gt;1,"Returning","New")</f>
        <v>New</v>
      </c>
      <c r="Q564" s="24" t="str">
        <f t="shared" si="8"/>
        <v>February</v>
      </c>
      <c r="R564" t="str">
        <v>New Arrival</v>
      </c>
    </row>
    <row r="565" spans="1:18" x14ac:dyDescent="0.25">
      <c r="A565" s="15" t="s">
        <v>117</v>
      </c>
      <c r="B565" s="16" t="str">
        <f>'Electronic Shop Sales Dataset'!$A565&amp;"-"&amp;'Electronic Shop Sales Dataset'!$C565</f>
        <v>P00016-Charger</v>
      </c>
      <c r="C565" s="16" t="s">
        <v>32</v>
      </c>
      <c r="D565" s="17">
        <v>23.96</v>
      </c>
      <c r="E565" s="16">
        <v>3</v>
      </c>
      <c r="F565" s="16" t="s">
        <v>21</v>
      </c>
      <c r="G565" s="16" t="s">
        <v>216</v>
      </c>
      <c r="H565" s="16" t="s">
        <v>37</v>
      </c>
      <c r="I565" s="16">
        <v>37.769337</v>
      </c>
      <c r="J565" s="16">
        <v>-78.169967999999997</v>
      </c>
      <c r="K565" s="16" t="s">
        <v>48</v>
      </c>
      <c r="L565" s="18">
        <v>45328</v>
      </c>
      <c r="M565" s="13">
        <f>DATEVALUE(TEXT(L565,"mm/dd/yy"))</f>
        <v>45328</v>
      </c>
      <c r="N565" s="17">
        <f>'Electronic Shop Sales Dataset'!$D565*'Electronic Shop Sales Dataset'!$E565</f>
        <v>71.88</v>
      </c>
      <c r="O565" s="12" cm="1">
        <f t="array" ref="O565">_xlfn.IFS($K565="Website",$N565*0.05, $K565="Mobile App",$N565*0.05,TRUE,0)</f>
        <v>3.5939999999999999</v>
      </c>
      <c r="P565" s="14" t="str">
        <f>IF(COUNTIF($G$2:G1140,G565)&gt;1,"Returning","New")</f>
        <v>New</v>
      </c>
      <c r="Q565" s="24" t="str">
        <f t="shared" si="8"/>
        <v>February</v>
      </c>
      <c r="R565" t="str">
        <v>New Arrival</v>
      </c>
    </row>
    <row r="566" spans="1:18" x14ac:dyDescent="0.25">
      <c r="A566" s="10" t="s">
        <v>11</v>
      </c>
      <c r="B566" s="11" t="str">
        <f>'Electronic Shop Sales Dataset'!$A566&amp;"-"&amp;'Electronic Shop Sales Dataset'!$C566</f>
        <v>P00019-Laptop</v>
      </c>
      <c r="C566" s="11" t="s">
        <v>89</v>
      </c>
      <c r="D566" s="12">
        <v>540.79999999999995</v>
      </c>
      <c r="E566" s="11">
        <v>5</v>
      </c>
      <c r="F566" s="11" t="s">
        <v>21</v>
      </c>
      <c r="G566" s="11" t="s">
        <v>217</v>
      </c>
      <c r="H566" s="11" t="s">
        <v>34</v>
      </c>
      <c r="I566" s="11">
        <v>32.806671000000001</v>
      </c>
      <c r="J566" s="11">
        <v>-86.791129999999995</v>
      </c>
      <c r="K566" s="11" t="s">
        <v>23</v>
      </c>
      <c r="L566" s="13">
        <v>45328</v>
      </c>
      <c r="M566" s="13">
        <f>DATEVALUE(TEXT(L566,"mm/dd/yy"))</f>
        <v>45328</v>
      </c>
      <c r="N566" s="12">
        <f>'Electronic Shop Sales Dataset'!$D566*'Electronic Shop Sales Dataset'!$E566</f>
        <v>2704</v>
      </c>
      <c r="O566" s="12" cm="1">
        <f t="array" ref="O566">_xlfn.IFS($K566="Website",$N566*0.05, $K566="Mobile App",$N566*0.05,TRUE,0)</f>
        <v>0</v>
      </c>
      <c r="P566" s="14" t="str">
        <f>IF(COUNTIF($G$2:G1141,G566)&gt;1,"Returning","New")</f>
        <v>New</v>
      </c>
      <c r="Q566" s="24" t="str">
        <f t="shared" si="8"/>
        <v>February</v>
      </c>
      <c r="R566" t="str">
        <v>Old Stock</v>
      </c>
    </row>
    <row r="567" spans="1:18" x14ac:dyDescent="0.25">
      <c r="A567" s="15" t="s">
        <v>102</v>
      </c>
      <c r="B567" s="16" t="str">
        <f>'Electronic Shop Sales Dataset'!$A567&amp;"-"&amp;'Electronic Shop Sales Dataset'!$C567</f>
        <v>P00001-Mouse</v>
      </c>
      <c r="C567" s="16" t="s">
        <v>95</v>
      </c>
      <c r="D567" s="17">
        <v>69.47</v>
      </c>
      <c r="E567" s="16">
        <v>1</v>
      </c>
      <c r="F567" s="16" t="s">
        <v>21</v>
      </c>
      <c r="G567" s="16" t="s">
        <v>218</v>
      </c>
      <c r="H567" s="16" t="s">
        <v>105</v>
      </c>
      <c r="I567" s="16">
        <v>35.630065999999999</v>
      </c>
      <c r="J567" s="16">
        <v>-79.806419000000005</v>
      </c>
      <c r="K567" s="16" t="s">
        <v>23</v>
      </c>
      <c r="L567" s="18">
        <v>45329</v>
      </c>
      <c r="M567" s="13">
        <f>DATEVALUE(TEXT(L567,"mm/dd/yy"))</f>
        <v>45329</v>
      </c>
      <c r="N567" s="17">
        <f>'Electronic Shop Sales Dataset'!$D567*'Electronic Shop Sales Dataset'!$E567</f>
        <v>69.47</v>
      </c>
      <c r="O567" s="12" cm="1">
        <f t="array" ref="O567">_xlfn.IFS($K567="Website",$N567*0.05, $K567="Mobile App",$N567*0.05,TRUE,0)</f>
        <v>0</v>
      </c>
      <c r="P567" s="14" t="str">
        <f>IF(COUNTIF($G$2:G1142,G567)&gt;1,"Returning","New")</f>
        <v>New</v>
      </c>
      <c r="Q567" s="24" t="str">
        <f t="shared" si="8"/>
        <v>February</v>
      </c>
      <c r="R567" t="str">
        <v>New Arrival</v>
      </c>
    </row>
    <row r="568" spans="1:18" x14ac:dyDescent="0.25">
      <c r="A568" s="10" t="s">
        <v>92</v>
      </c>
      <c r="B568" s="11" t="str">
        <f>'Electronic Shop Sales Dataset'!$A568&amp;"-"&amp;'Electronic Shop Sales Dataset'!$C568</f>
        <v>P00004-Projector</v>
      </c>
      <c r="C568" s="11" t="s">
        <v>65</v>
      </c>
      <c r="D568" s="12">
        <v>496.07</v>
      </c>
      <c r="E568" s="11">
        <v>1</v>
      </c>
      <c r="F568" s="11" t="s">
        <v>33</v>
      </c>
      <c r="G568" s="11" t="s">
        <v>219</v>
      </c>
      <c r="H568" s="11" t="s">
        <v>96</v>
      </c>
      <c r="I568" s="11">
        <v>42.011538999999999</v>
      </c>
      <c r="J568" s="11">
        <v>-93.210526000000002</v>
      </c>
      <c r="K568" s="11" t="s">
        <v>48</v>
      </c>
      <c r="L568" s="13">
        <v>45332</v>
      </c>
      <c r="M568" s="13">
        <f>DATEVALUE(TEXT(L568,"mm/dd/yy"))</f>
        <v>45332</v>
      </c>
      <c r="N568" s="12">
        <f>'Electronic Shop Sales Dataset'!$D568*'Electronic Shop Sales Dataset'!$E568</f>
        <v>496.07</v>
      </c>
      <c r="O568" s="12" cm="1">
        <f t="array" ref="O568">_xlfn.IFS($K568="Website",$N568*0.05, $K568="Mobile App",$N568*0.05,TRUE,0)</f>
        <v>24.8035</v>
      </c>
      <c r="P568" s="14" t="str">
        <f>IF(COUNTIF($G$2:G1143,G568)&gt;1,"Returning","New")</f>
        <v>New</v>
      </c>
      <c r="Q568" s="24" t="str">
        <f t="shared" si="8"/>
        <v>February</v>
      </c>
      <c r="R568" t="str">
        <v>New Arrival</v>
      </c>
    </row>
    <row r="569" spans="1:18" x14ac:dyDescent="0.25">
      <c r="A569" s="15" t="s">
        <v>86</v>
      </c>
      <c r="B569" s="16" t="str">
        <f>'Electronic Shop Sales Dataset'!$A569&amp;"-"&amp;'Electronic Shop Sales Dataset'!$C569</f>
        <v>P00021-Hard Disk</v>
      </c>
      <c r="C569" s="16" t="s">
        <v>97</v>
      </c>
      <c r="D569" s="17">
        <v>164.57</v>
      </c>
      <c r="E569" s="16">
        <v>1</v>
      </c>
      <c r="F569" s="16" t="s">
        <v>43</v>
      </c>
      <c r="G569" s="16" t="s">
        <v>221</v>
      </c>
      <c r="H569" s="16" t="s">
        <v>26</v>
      </c>
      <c r="I569" s="16">
        <v>35.747844999999998</v>
      </c>
      <c r="J569" s="16">
        <v>-86.692345000000003</v>
      </c>
      <c r="K569" s="16" t="s">
        <v>15</v>
      </c>
      <c r="L569" s="18">
        <v>45333</v>
      </c>
      <c r="M569" s="13">
        <f>DATEVALUE(TEXT(L569,"mm/dd/yy"))</f>
        <v>45333</v>
      </c>
      <c r="N569" s="17">
        <f>'Electronic Shop Sales Dataset'!$D569*'Electronic Shop Sales Dataset'!$E569</f>
        <v>164.57</v>
      </c>
      <c r="O569" s="12" cm="1">
        <f t="array" ref="O569">_xlfn.IFS($K569="Website",$N569*0.05, $K569="Mobile App",$N569*0.05,TRUE,0)</f>
        <v>0</v>
      </c>
      <c r="P569" s="14" t="str">
        <f>IF(COUNTIF($G$2:G1144,G569)&gt;1,"Returning","New")</f>
        <v>New</v>
      </c>
      <c r="Q569" s="24" t="str">
        <f t="shared" si="8"/>
        <v>February</v>
      </c>
      <c r="R569" t="str">
        <v>New Arrival</v>
      </c>
    </row>
    <row r="570" spans="1:18" x14ac:dyDescent="0.25">
      <c r="A570" s="10" t="s">
        <v>102</v>
      </c>
      <c r="B570" s="11" t="str">
        <f>'Electronic Shop Sales Dataset'!$A570&amp;"-"&amp;'Electronic Shop Sales Dataset'!$C570</f>
        <v>P00001-Smart Home Hub</v>
      </c>
      <c r="C570" s="11" t="s">
        <v>42</v>
      </c>
      <c r="D570" s="12">
        <v>273.39</v>
      </c>
      <c r="E570" s="11">
        <v>1</v>
      </c>
      <c r="F570" s="11" t="s">
        <v>13</v>
      </c>
      <c r="G570" s="11" t="s">
        <v>222</v>
      </c>
      <c r="H570" s="11" t="s">
        <v>94</v>
      </c>
      <c r="I570" s="11">
        <v>41.597782000000002</v>
      </c>
      <c r="J570" s="11">
        <v>-72.755370999999997</v>
      </c>
      <c r="K570" s="11" t="s">
        <v>27</v>
      </c>
      <c r="L570" s="13">
        <v>45335</v>
      </c>
      <c r="M570" s="13">
        <f>DATEVALUE(TEXT(L570,"mm/dd/yy"))</f>
        <v>45335</v>
      </c>
      <c r="N570" s="12">
        <f>'Electronic Shop Sales Dataset'!$D570*'Electronic Shop Sales Dataset'!$E570</f>
        <v>273.39</v>
      </c>
      <c r="O570" s="12" cm="1">
        <f t="array" ref="O570">_xlfn.IFS($K570="Website",$N570*0.05, $K570="Mobile App",$N570*0.05,TRUE,0)</f>
        <v>0</v>
      </c>
      <c r="P570" s="14" t="str">
        <f>IF(COUNTIF($G$2:G1145,G570)&gt;1,"Returning","New")</f>
        <v>New</v>
      </c>
      <c r="Q570" s="24" t="str">
        <f t="shared" si="8"/>
        <v>February</v>
      </c>
      <c r="R570" t="str">
        <v>New Arrival</v>
      </c>
    </row>
    <row r="571" spans="1:18" x14ac:dyDescent="0.25">
      <c r="A571" s="15" t="s">
        <v>69</v>
      </c>
      <c r="B571" s="16" t="str">
        <f>'Electronic Shop Sales Dataset'!$A571&amp;"-"&amp;'Electronic Shop Sales Dataset'!$C571</f>
        <v>P00005-Gaming Console</v>
      </c>
      <c r="C571" s="16" t="s">
        <v>17</v>
      </c>
      <c r="D571" s="17">
        <v>303.13</v>
      </c>
      <c r="E571" s="16">
        <v>2</v>
      </c>
      <c r="F571" s="16" t="s">
        <v>43</v>
      </c>
      <c r="G571" s="16" t="s">
        <v>224</v>
      </c>
      <c r="H571" s="16" t="s">
        <v>77</v>
      </c>
      <c r="I571" s="16">
        <v>44.693947000000001</v>
      </c>
      <c r="J571" s="16">
        <v>-69.381927000000005</v>
      </c>
      <c r="K571" s="16" t="s">
        <v>54</v>
      </c>
      <c r="L571" s="18">
        <v>45336</v>
      </c>
      <c r="M571" s="13">
        <f>DATEVALUE(TEXT(L571,"mm/dd/yy"))</f>
        <v>45336</v>
      </c>
      <c r="N571" s="17">
        <f>'Electronic Shop Sales Dataset'!$D571*'Electronic Shop Sales Dataset'!$E571</f>
        <v>606.26</v>
      </c>
      <c r="O571" s="12" cm="1">
        <f t="array" ref="O571">_xlfn.IFS($K571="Website",$N571*0.05, $K571="Mobile App",$N571*0.05,TRUE,0)</f>
        <v>30.313000000000002</v>
      </c>
      <c r="P571" s="14" t="str">
        <f>IF(COUNTIF($G$2:G1146,G571)&gt;1,"Returning","New")</f>
        <v>New</v>
      </c>
      <c r="Q571" s="24" t="str">
        <f t="shared" si="8"/>
        <v>February</v>
      </c>
      <c r="R571" t="str">
        <v>New Arrival</v>
      </c>
    </row>
    <row r="572" spans="1:18" x14ac:dyDescent="0.25">
      <c r="A572" s="10" t="s">
        <v>90</v>
      </c>
      <c r="B572" s="11" t="str">
        <f>'Electronic Shop Sales Dataset'!$A572&amp;"-"&amp;'Electronic Shop Sales Dataset'!$C572</f>
        <v>P00014-Camera</v>
      </c>
      <c r="C572" s="11" t="s">
        <v>46</v>
      </c>
      <c r="D572" s="12">
        <v>1409.79</v>
      </c>
      <c r="E572" s="11">
        <v>4</v>
      </c>
      <c r="F572" s="11" t="s">
        <v>33</v>
      </c>
      <c r="G572" s="11" t="s">
        <v>227</v>
      </c>
      <c r="H572" s="11" t="s">
        <v>123</v>
      </c>
      <c r="I572" s="11">
        <v>40.388782999999997</v>
      </c>
      <c r="J572" s="11">
        <v>-82.764915000000002</v>
      </c>
      <c r="K572" s="11" t="s">
        <v>48</v>
      </c>
      <c r="L572" s="13">
        <v>45340</v>
      </c>
      <c r="M572" s="13">
        <f>DATEVALUE(TEXT(L572,"mm/dd/yy"))</f>
        <v>45340</v>
      </c>
      <c r="N572" s="12">
        <f>'Electronic Shop Sales Dataset'!$D572*'Electronic Shop Sales Dataset'!$E572</f>
        <v>5639.16</v>
      </c>
      <c r="O572" s="12" cm="1">
        <f t="array" ref="O572">_xlfn.IFS($K572="Website",$N572*0.05, $K572="Mobile App",$N572*0.05,TRUE,0)</f>
        <v>281.95800000000003</v>
      </c>
      <c r="P572" s="14" t="str">
        <f>IF(COUNTIF($G$2:G1147,G572)&gt;1,"Returning","New")</f>
        <v>New</v>
      </c>
      <c r="Q572" s="24" t="str">
        <f t="shared" si="8"/>
        <v>February</v>
      </c>
      <c r="R572" t="str">
        <v>New Arrival</v>
      </c>
    </row>
    <row r="573" spans="1:18" x14ac:dyDescent="0.25">
      <c r="A573" s="15" t="s">
        <v>92</v>
      </c>
      <c r="B573" s="16" t="str">
        <f>'Electronic Shop Sales Dataset'!$A573&amp;"-"&amp;'Electronic Shop Sales Dataset'!$C573</f>
        <v>P00004-Headphones</v>
      </c>
      <c r="C573" s="16" t="s">
        <v>55</v>
      </c>
      <c r="D573" s="17">
        <v>152.13999999999999</v>
      </c>
      <c r="E573" s="16">
        <v>3</v>
      </c>
      <c r="F573" s="16" t="s">
        <v>43</v>
      </c>
      <c r="G573" s="16" t="s">
        <v>230</v>
      </c>
      <c r="H573" s="16" t="s">
        <v>87</v>
      </c>
      <c r="I573" s="16">
        <v>33.729759000000001</v>
      </c>
      <c r="J573" s="16">
        <v>-111.43122099999999</v>
      </c>
      <c r="K573" s="16" t="s">
        <v>23</v>
      </c>
      <c r="L573" s="18">
        <v>45349</v>
      </c>
      <c r="M573" s="13">
        <f>DATEVALUE(TEXT(L573,"mm/dd/yy"))</f>
        <v>45349</v>
      </c>
      <c r="N573" s="17">
        <f>'Electronic Shop Sales Dataset'!$D573*'Electronic Shop Sales Dataset'!$E573</f>
        <v>456.41999999999996</v>
      </c>
      <c r="O573" s="12" cm="1">
        <f t="array" ref="O573">_xlfn.IFS($K573="Website",$N573*0.05, $K573="Mobile App",$N573*0.05,TRUE,0)</f>
        <v>0</v>
      </c>
      <c r="P573" s="14" t="str">
        <f>IF(COUNTIF($G$2:G1148,G573)&gt;1,"Returning","New")</f>
        <v>New</v>
      </c>
      <c r="Q573" s="24" t="str">
        <f t="shared" si="8"/>
        <v>February</v>
      </c>
      <c r="R573" t="str">
        <v>New Arrival</v>
      </c>
    </row>
    <row r="574" spans="1:18" x14ac:dyDescent="0.25">
      <c r="A574" s="10" t="s">
        <v>19</v>
      </c>
      <c r="B574" s="11" t="str">
        <f>'Electronic Shop Sales Dataset'!$A574&amp;"-"&amp;'Electronic Shop Sales Dataset'!$C574</f>
        <v>P00003-Charger</v>
      </c>
      <c r="C574" s="11" t="s">
        <v>32</v>
      </c>
      <c r="D574" s="12">
        <v>39.28</v>
      </c>
      <c r="E574" s="11">
        <v>4</v>
      </c>
      <c r="F574" s="11" t="s">
        <v>21</v>
      </c>
      <c r="G574" s="11" t="s">
        <v>233</v>
      </c>
      <c r="H574" s="11" t="s">
        <v>104</v>
      </c>
      <c r="I574" s="11">
        <v>61.370716000000002</v>
      </c>
      <c r="J574" s="11">
        <v>-152.40441899999999</v>
      </c>
      <c r="K574" s="11" t="s">
        <v>48</v>
      </c>
      <c r="L574" s="13">
        <v>45359</v>
      </c>
      <c r="M574" s="13">
        <f>DATEVALUE(TEXT(L574,"mm/dd/yy"))</f>
        <v>45359</v>
      </c>
      <c r="N574" s="12">
        <f>'Electronic Shop Sales Dataset'!$D574*'Electronic Shop Sales Dataset'!$E574</f>
        <v>157.12</v>
      </c>
      <c r="O574" s="12" cm="1">
        <f t="array" ref="O574">_xlfn.IFS($K574="Website",$N574*0.05, $K574="Mobile App",$N574*0.05,TRUE,0)</f>
        <v>7.8560000000000008</v>
      </c>
      <c r="P574" s="14" t="str">
        <f>IF(COUNTIF($G$2:G1149,G574)&gt;1,"Returning","New")</f>
        <v>New</v>
      </c>
      <c r="Q574" s="24" t="str">
        <f t="shared" si="8"/>
        <v>March</v>
      </c>
      <c r="R574" t="str">
        <v>New Arrival</v>
      </c>
    </row>
    <row r="575" spans="1:18" x14ac:dyDescent="0.25">
      <c r="A575" s="15" t="s">
        <v>41</v>
      </c>
      <c r="B575" s="16" t="str">
        <f>'Electronic Shop Sales Dataset'!$A575&amp;"-"&amp;'Electronic Shop Sales Dataset'!$C575</f>
        <v>P00024-Camera</v>
      </c>
      <c r="C575" s="16" t="s">
        <v>46</v>
      </c>
      <c r="D575" s="17">
        <v>798.06</v>
      </c>
      <c r="E575" s="16">
        <v>1</v>
      </c>
      <c r="F575" s="16" t="s">
        <v>21</v>
      </c>
      <c r="G575" s="16" t="s">
        <v>234</v>
      </c>
      <c r="H575" s="16" t="s">
        <v>112</v>
      </c>
      <c r="I575" s="16">
        <v>39.063946000000001</v>
      </c>
      <c r="J575" s="16">
        <v>-76.802100999999993</v>
      </c>
      <c r="K575" s="16" t="s">
        <v>27</v>
      </c>
      <c r="L575" s="18">
        <v>45360</v>
      </c>
      <c r="M575" s="13">
        <f>DATEVALUE(TEXT(L575,"mm/dd/yy"))</f>
        <v>45360</v>
      </c>
      <c r="N575" s="17">
        <f>'Electronic Shop Sales Dataset'!$D575*'Electronic Shop Sales Dataset'!$E575</f>
        <v>798.06</v>
      </c>
      <c r="O575" s="12" cm="1">
        <f t="array" ref="O575">_xlfn.IFS($K575="Website",$N575*0.05, $K575="Mobile App",$N575*0.05,TRUE,0)</f>
        <v>0</v>
      </c>
      <c r="P575" s="14" t="str">
        <f>IF(COUNTIF($G$2:G1150,G575)&gt;1,"Returning","New")</f>
        <v>New</v>
      </c>
      <c r="Q575" s="24" t="str">
        <f t="shared" si="8"/>
        <v>March</v>
      </c>
      <c r="R575" t="str">
        <v>New Arrival</v>
      </c>
    </row>
    <row r="576" spans="1:18" x14ac:dyDescent="0.25">
      <c r="A576" s="10" t="s">
        <v>19</v>
      </c>
      <c r="B576" s="11" t="str">
        <f>'Electronic Shop Sales Dataset'!$A576&amp;"-"&amp;'Electronic Shop Sales Dataset'!$C576</f>
        <v>P00003-Smartphone</v>
      </c>
      <c r="C576" s="11" t="s">
        <v>12</v>
      </c>
      <c r="D576" s="12">
        <v>607.24</v>
      </c>
      <c r="E576" s="11">
        <v>1</v>
      </c>
      <c r="F576" s="11" t="s">
        <v>21</v>
      </c>
      <c r="G576" s="11" t="s">
        <v>235</v>
      </c>
      <c r="H576" s="11" t="s">
        <v>120</v>
      </c>
      <c r="I576" s="11">
        <v>40.349457000000001</v>
      </c>
      <c r="J576" s="11">
        <v>-88.986136999999999</v>
      </c>
      <c r="K576" s="11" t="s">
        <v>23</v>
      </c>
      <c r="L576" s="13">
        <v>45361</v>
      </c>
      <c r="M576" s="13">
        <f>DATEVALUE(TEXT(L576,"mm/dd/yy"))</f>
        <v>45361</v>
      </c>
      <c r="N576" s="12">
        <f>'Electronic Shop Sales Dataset'!$D576*'Electronic Shop Sales Dataset'!$E576</f>
        <v>607.24</v>
      </c>
      <c r="O576" s="12" cm="1">
        <f t="array" ref="O576">_xlfn.IFS($K576="Website",$N576*0.05, $K576="Mobile App",$N576*0.05,TRUE,0)</f>
        <v>0</v>
      </c>
      <c r="P576" s="14" t="str">
        <f>IF(COUNTIF($G$2:G1151,G576)&gt;1,"Returning","New")</f>
        <v>New</v>
      </c>
      <c r="Q576" s="24" t="str">
        <f t="shared" si="8"/>
        <v>March</v>
      </c>
      <c r="R576" t="str">
        <v>New Arrival</v>
      </c>
    </row>
    <row r="577" spans="1:18" x14ac:dyDescent="0.25">
      <c r="A577" s="1" t="s">
        <v>49</v>
      </c>
      <c r="B577" s="2" t="str">
        <f>'Electronic Shop Sales Dataset'!$A577&amp;"-"&amp;'Electronic Shop Sales Dataset'!$C577</f>
        <v>P00023-Power Bank</v>
      </c>
      <c r="C577" s="2" t="s">
        <v>124</v>
      </c>
      <c r="D577" s="19">
        <v>37.340000000000003</v>
      </c>
      <c r="E577" s="2">
        <v>4</v>
      </c>
      <c r="F577" s="2" t="s">
        <v>33</v>
      </c>
      <c r="G577" s="2" t="s">
        <v>239</v>
      </c>
      <c r="H577" s="2" t="s">
        <v>14</v>
      </c>
      <c r="I577" s="2">
        <v>42.230170999999999</v>
      </c>
      <c r="J577" s="2">
        <v>-71.530106000000004</v>
      </c>
      <c r="K577" s="2" t="s">
        <v>48</v>
      </c>
      <c r="L577" s="20">
        <v>45384</v>
      </c>
      <c r="M577" s="13">
        <f>DATEVALUE(TEXT(L577,"mm/dd/yy"))</f>
        <v>45384</v>
      </c>
      <c r="N577" s="19">
        <f>'Electronic Shop Sales Dataset'!$D577*'Electronic Shop Sales Dataset'!$E577</f>
        <v>149.36000000000001</v>
      </c>
      <c r="O577" s="12" cm="1">
        <f t="array" ref="O577">_xlfn.IFS($K577="Website",$N577*0.05, $K577="Mobile App",$N577*0.05,TRUE,0)</f>
        <v>7.4680000000000009</v>
      </c>
      <c r="P577" s="14" t="str">
        <f>IF(COUNTIF($G$2:G1152,G577)&gt;1,"Returning","New")</f>
        <v>New</v>
      </c>
      <c r="Q577" s="24" t="str">
        <f t="shared" si="8"/>
        <v>April</v>
      </c>
      <c r="R577" t="str">
        <v>New Arrival</v>
      </c>
    </row>
  </sheetData>
  <sortState xmlns:xlrd2="http://schemas.microsoft.com/office/spreadsheetml/2017/richdata2" ref="A2:Q578">
    <sortCondition descending="1" ref="N1:N57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4054D-411B-4552-8BEB-F8A3CE751FE4}">
  <dimension ref="A1:F2"/>
  <sheetViews>
    <sheetView workbookViewId="0">
      <selection sqref="A1:F19"/>
    </sheetView>
  </sheetViews>
  <sheetFormatPr defaultRowHeight="15" x14ac:dyDescent="0.25"/>
  <sheetData>
    <row r="1" spans="1:6" x14ac:dyDescent="0.25">
      <c r="B1" t="s">
        <v>702</v>
      </c>
      <c r="C1" t="s">
        <v>701</v>
      </c>
      <c r="D1" t="s">
        <v>703</v>
      </c>
      <c r="E1" t="s">
        <v>704</v>
      </c>
      <c r="F1" t="s">
        <v>705</v>
      </c>
    </row>
    <row r="2" spans="1:6" x14ac:dyDescent="0.25">
      <c r="A2" t="e" cm="1">
        <f t="array" ref="A2">_xlfn.UNIQUE(#REF!)</f>
        <v>#REF!</v>
      </c>
      <c r="B2">
        <f>COUNTA(_xlfn.ANCHORARRAY(A2))</f>
        <v>1</v>
      </c>
      <c r="C2" t="e" cm="1">
        <f t="array" ref="C2">_xlfn.UNIQUE(#REF!)</f>
        <v>#REF!</v>
      </c>
      <c r="D2">
        <f>COUNTA(_xlfn.ANCHORARRAY(C2))</f>
        <v>1</v>
      </c>
      <c r="E2" t="e" cm="1">
        <f t="array" ref="E2">_xlfn.UNIQUE(#REF!)</f>
        <v>#REF!</v>
      </c>
      <c r="F2">
        <f>COUNTA(_xlfn.ANCHORARRAY(E2))</f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2821869-C699-4B9D-A237-3631F906A12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Electronic Shop Sales Dataset</vt:lpstr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SHAFII JUMA</dc:creator>
  <cp:lastModifiedBy>Muskan Shaikh</cp:lastModifiedBy>
  <dcterms:created xsi:type="dcterms:W3CDTF">2024-11-15T12:00:25Z</dcterms:created>
  <dcterms:modified xsi:type="dcterms:W3CDTF">2025-12-26T11:29:07Z</dcterms:modified>
</cp:coreProperties>
</file>